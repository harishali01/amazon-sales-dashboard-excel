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3C3A08F112B6E9FB/ドキュメント/"/>
    </mc:Choice>
  </mc:AlternateContent>
  <xr:revisionPtr revIDLastSave="4560" documentId="8_{F3F692F7-08D3-4249-811D-DD430847332D}" xr6:coauthVersionLast="47" xr6:coauthVersionMax="47" xr10:uidLastSave="{10135B04-6898-4A03-9704-DE02D00020F1}"/>
  <bookViews>
    <workbookView xWindow="-108" yWindow="-108" windowWidth="23256" windowHeight="12456" activeTab="2" xr2:uid="{80B3B757-169E-45B6-89C9-D705E5FE94D5}"/>
  </bookViews>
  <sheets>
    <sheet name="Sheet1" sheetId="3" r:id="rId1"/>
    <sheet name="Data" sheetId="2" r:id="rId2"/>
    <sheet name="DASHBOARD" sheetId="7" r:id="rId3"/>
  </sheets>
  <definedNames>
    <definedName name="_xlchart.v5.0" hidden="1">Sheet1!$AC$14</definedName>
    <definedName name="_xlchart.v5.1" hidden="1">Sheet1!$AC$15:$AC$21</definedName>
    <definedName name="_xlchart.v5.2" hidden="1">Sheet1!$AD$14</definedName>
    <definedName name="_xlchart.v5.3" hidden="1">Sheet1!$AD$15:$AD$21</definedName>
    <definedName name="Slicer_Month">#N/A</definedName>
    <definedName name="Slicer_Payment_Method">#N/A</definedName>
    <definedName name="Slicer_Sell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9" i="3" l="1"/>
  <c r="AD15" i="3"/>
  <c r="AD16" i="3"/>
  <c r="AD17" i="3"/>
  <c r="AD18" i="3"/>
  <c r="AD20" i="3"/>
  <c r="AC16" i="3"/>
  <c r="AC17" i="3"/>
  <c r="AC18" i="3"/>
  <c r="AC19" i="3"/>
  <c r="AC20" i="3"/>
  <c r="AC15" i="3"/>
  <c r="U14" i="3"/>
  <c r="V14" i="3"/>
  <c r="W14" i="3"/>
  <c r="X14" i="3"/>
  <c r="U15" i="3"/>
  <c r="V15" i="3"/>
  <c r="W15" i="3"/>
  <c r="X15" i="3"/>
  <c r="U16" i="3"/>
  <c r="V16" i="3"/>
  <c r="W16" i="3"/>
  <c r="X16" i="3"/>
  <c r="U17" i="3"/>
  <c r="V17" i="3"/>
  <c r="W17" i="3"/>
  <c r="X17" i="3"/>
  <c r="U18" i="3"/>
  <c r="V18" i="3"/>
  <c r="W18" i="3"/>
  <c r="X18" i="3"/>
  <c r="U19" i="3"/>
  <c r="V19" i="3"/>
  <c r="W19" i="3"/>
  <c r="X19" i="3"/>
  <c r="U20" i="3"/>
  <c r="V20" i="3"/>
  <c r="W20" i="3"/>
  <c r="X20" i="3"/>
  <c r="U21" i="3"/>
  <c r="V21" i="3"/>
  <c r="W21" i="3"/>
  <c r="X21" i="3"/>
  <c r="T15" i="3"/>
  <c r="T16" i="3"/>
  <c r="T17" i="3"/>
  <c r="T18" i="3"/>
  <c r="T19" i="3"/>
  <c r="T20" i="3"/>
  <c r="T21" i="3"/>
  <c r="T14" i="3"/>
  <c r="X22" i="3" l="1"/>
  <c r="AD21" i="3"/>
  <c r="AE19" i="3" l="1"/>
  <c r="AE20" i="3"/>
  <c r="AE16" i="3"/>
  <c r="AE17" i="3"/>
  <c r="AE18" i="3"/>
  <c r="AE15" i="3"/>
</calcChain>
</file>

<file path=xl/sharedStrings.xml><?xml version="1.0" encoding="utf-8"?>
<sst xmlns="http://schemas.openxmlformats.org/spreadsheetml/2006/main" count="4620" uniqueCount="879">
  <si>
    <t>Order_ID</t>
  </si>
  <si>
    <t>Date</t>
  </si>
  <si>
    <t>Customer_Name</t>
  </si>
  <si>
    <t>Product</t>
  </si>
  <si>
    <t>Category</t>
  </si>
  <si>
    <t>State</t>
  </si>
  <si>
    <t>Seller</t>
  </si>
  <si>
    <t>Payment_Method</t>
  </si>
  <si>
    <t>Sales</t>
  </si>
  <si>
    <t>Quantity</t>
  </si>
  <si>
    <t>Rating</t>
  </si>
  <si>
    <t>Delivery</t>
  </si>
  <si>
    <t>Month</t>
  </si>
  <si>
    <t>ORD10001</t>
  </si>
  <si>
    <t>21/05/2025</t>
  </si>
  <si>
    <t>Rohit</t>
  </si>
  <si>
    <t>Shampoo</t>
  </si>
  <si>
    <t>Beauty</t>
  </si>
  <si>
    <t>Karnataka</t>
  </si>
  <si>
    <t>BookWorld</t>
  </si>
  <si>
    <t>Cash</t>
  </si>
  <si>
    <t>May</t>
  </si>
  <si>
    <t>ORD10002</t>
  </si>
  <si>
    <t>15/10/2025</t>
  </si>
  <si>
    <t>Kavya</t>
  </si>
  <si>
    <t>Chair</t>
  </si>
  <si>
    <t>Home</t>
  </si>
  <si>
    <t>Gujrat</t>
  </si>
  <si>
    <t>TechStore</t>
  </si>
  <si>
    <t>Net Banking</t>
  </si>
  <si>
    <t>Oct</t>
  </si>
  <si>
    <t>ORD10003</t>
  </si>
  <si>
    <t>21/04/2025</t>
  </si>
  <si>
    <t>Neha</t>
  </si>
  <si>
    <t>iPhone 15</t>
  </si>
  <si>
    <t>Electronics</t>
  </si>
  <si>
    <t>Card</t>
  </si>
  <si>
    <t>Apr</t>
  </si>
  <si>
    <t>ORD10004</t>
  </si>
  <si>
    <t>10/10/2025</t>
  </si>
  <si>
    <t>Rahul</t>
  </si>
  <si>
    <t>Shoes</t>
  </si>
  <si>
    <t>Fashion</t>
  </si>
  <si>
    <t>ORD10005</t>
  </si>
  <si>
    <t>21/08/2025</t>
  </si>
  <si>
    <t>Akash</t>
  </si>
  <si>
    <t>Jeans</t>
  </si>
  <si>
    <t>Aug</t>
  </si>
  <si>
    <t>ORD10006</t>
  </si>
  <si>
    <t>14/07/2025</t>
  </si>
  <si>
    <t>Anjali</t>
  </si>
  <si>
    <t>Business Book</t>
  </si>
  <si>
    <t>Books</t>
  </si>
  <si>
    <t>Telangana</t>
  </si>
  <si>
    <t>BeautyCare</t>
  </si>
  <si>
    <t>Jul</t>
  </si>
  <si>
    <t>ORD10007</t>
  </si>
  <si>
    <t>19/04/2025</t>
  </si>
  <si>
    <t>Divya</t>
  </si>
  <si>
    <t>Bedsheet</t>
  </si>
  <si>
    <t>Maharashtra</t>
  </si>
  <si>
    <t>ORD10008</t>
  </si>
  <si>
    <t>18/09/2025</t>
  </si>
  <si>
    <t>Python Book</t>
  </si>
  <si>
    <t>UPI</t>
  </si>
  <si>
    <t>Sep</t>
  </si>
  <si>
    <t>ORD10009</t>
  </si>
  <si>
    <t>28/09/2025</t>
  </si>
  <si>
    <t>Arjun</t>
  </si>
  <si>
    <t>Lamp</t>
  </si>
  <si>
    <t>ORD10010</t>
  </si>
  <si>
    <t>15/05/2025</t>
  </si>
  <si>
    <t>Ali</t>
  </si>
  <si>
    <t>ORD10011</t>
  </si>
  <si>
    <t>08/09/2025</t>
  </si>
  <si>
    <t>Vikas</t>
  </si>
  <si>
    <t>ORD10012</t>
  </si>
  <si>
    <t>07/03/2025</t>
  </si>
  <si>
    <t>Naveen</t>
  </si>
  <si>
    <t>Mixer</t>
  </si>
  <si>
    <t>Mar</t>
  </si>
  <si>
    <t>ORD10013</t>
  </si>
  <si>
    <t>13/08/2025</t>
  </si>
  <si>
    <t>Delhi</t>
  </si>
  <si>
    <t>ORD10014</t>
  </si>
  <si>
    <t>04/02/2025</t>
  </si>
  <si>
    <t>Perfume</t>
  </si>
  <si>
    <t>Feb</t>
  </si>
  <si>
    <t>ORD10015</t>
  </si>
  <si>
    <t>08/04/2025</t>
  </si>
  <si>
    <t>Watch</t>
  </si>
  <si>
    <t>ORD10016</t>
  </si>
  <si>
    <t>09/04/2025</t>
  </si>
  <si>
    <t>ORD10017</t>
  </si>
  <si>
    <t>17/02/2025</t>
  </si>
  <si>
    <t>ORD10018</t>
  </si>
  <si>
    <t>27/05/2025</t>
  </si>
  <si>
    <t>AirPods Pro</t>
  </si>
  <si>
    <t>ORD10019</t>
  </si>
  <si>
    <t>27/10/2025</t>
  </si>
  <si>
    <t>Tamil Nadu</t>
  </si>
  <si>
    <t>ORD10020</t>
  </si>
  <si>
    <t>19/10/2025</t>
  </si>
  <si>
    <t>Priya</t>
  </si>
  <si>
    <t>HomeMart</t>
  </si>
  <si>
    <t>ORD10021</t>
  </si>
  <si>
    <t>09/03/2025</t>
  </si>
  <si>
    <t>ORD10022</t>
  </si>
  <si>
    <t>05/02/2025</t>
  </si>
  <si>
    <t>Cookbook</t>
  </si>
  <si>
    <t>ORD10023</t>
  </si>
  <si>
    <t>24/02/2025</t>
  </si>
  <si>
    <t>Pooja</t>
  </si>
  <si>
    <t>Laptop</t>
  </si>
  <si>
    <t>ORD10024</t>
  </si>
  <si>
    <t>22/05/2025</t>
  </si>
  <si>
    <t>Lipstick</t>
  </si>
  <si>
    <t>ORD10025</t>
  </si>
  <si>
    <t>20/12/2025</t>
  </si>
  <si>
    <t>Dec</t>
  </si>
  <si>
    <t>ORD10026</t>
  </si>
  <si>
    <t>16/12/2025</t>
  </si>
  <si>
    <t>Aman</t>
  </si>
  <si>
    <t>ORD10027</t>
  </si>
  <si>
    <t>20/06/2025</t>
  </si>
  <si>
    <t>Sanjay</t>
  </si>
  <si>
    <t>Jun</t>
  </si>
  <si>
    <t>ORD10028</t>
  </si>
  <si>
    <t>27/04/2025</t>
  </si>
  <si>
    <t>Kiran</t>
  </si>
  <si>
    <t>MacBook Air</t>
  </si>
  <si>
    <t>ORD10029</t>
  </si>
  <si>
    <t>14/05/2025</t>
  </si>
  <si>
    <t>Vijay</t>
  </si>
  <si>
    <t>ORD10030</t>
  </si>
  <si>
    <t>11/05/2025</t>
  </si>
  <si>
    <t>ORD10031</t>
  </si>
  <si>
    <t>06/12/2025</t>
  </si>
  <si>
    <t>ORD10032</t>
  </si>
  <si>
    <t>13/12/2025</t>
  </si>
  <si>
    <t>ORD10033</t>
  </si>
  <si>
    <t>12/12/2025</t>
  </si>
  <si>
    <t>ORD10034</t>
  </si>
  <si>
    <t>13/01/2025</t>
  </si>
  <si>
    <t>Jan</t>
  </si>
  <si>
    <t>ORD10035</t>
  </si>
  <si>
    <t>Meena</t>
  </si>
  <si>
    <t>Novel</t>
  </si>
  <si>
    <t>ORD10036</t>
  </si>
  <si>
    <t>08/10/2025</t>
  </si>
  <si>
    <t>ORD10037</t>
  </si>
  <si>
    <t>ORD10038</t>
  </si>
  <si>
    <t>28/07/2025</t>
  </si>
  <si>
    <t>ORD10039</t>
  </si>
  <si>
    <t>30/06/2025</t>
  </si>
  <si>
    <t>ORD10040</t>
  </si>
  <si>
    <t>22/06/2025</t>
  </si>
  <si>
    <t>ORD10041</t>
  </si>
  <si>
    <t>25/08/2025</t>
  </si>
  <si>
    <t>T-Shirt</t>
  </si>
  <si>
    <t>ORD10042</t>
  </si>
  <si>
    <t>10/01/2025</t>
  </si>
  <si>
    <t>ORD10043</t>
  </si>
  <si>
    <t>09/12/2025</t>
  </si>
  <si>
    <t>ORD10044</t>
  </si>
  <si>
    <t>Sony Headphones</t>
  </si>
  <si>
    <t>ORD10045</t>
  </si>
  <si>
    <t>05/12/2025</t>
  </si>
  <si>
    <t>ORD10046</t>
  </si>
  <si>
    <t>25/09/2025</t>
  </si>
  <si>
    <t>Sneha</t>
  </si>
  <si>
    <t>ORD10047</t>
  </si>
  <si>
    <t>26/08/2025</t>
  </si>
  <si>
    <t>ORD10048</t>
  </si>
  <si>
    <t>22/09/2025</t>
  </si>
  <si>
    <t>ORD10049</t>
  </si>
  <si>
    <t>27/07/2025</t>
  </si>
  <si>
    <t>ORD10050</t>
  </si>
  <si>
    <t>29/04/2025</t>
  </si>
  <si>
    <t>Ria</t>
  </si>
  <si>
    <t>ORD10051</t>
  </si>
  <si>
    <t>21/02/2025</t>
  </si>
  <si>
    <t>ORD10052</t>
  </si>
  <si>
    <t>22/02/2025</t>
  </si>
  <si>
    <t>ORD10053</t>
  </si>
  <si>
    <t>07/02/2025</t>
  </si>
  <si>
    <t>ORD10054</t>
  </si>
  <si>
    <t>02/06/2025</t>
  </si>
  <si>
    <t>ORD10055</t>
  </si>
  <si>
    <t>22/03/2025</t>
  </si>
  <si>
    <t>ORD10056</t>
  </si>
  <si>
    <t>17/11/2025</t>
  </si>
  <si>
    <t>Nov</t>
  </si>
  <si>
    <t>ORD10057</t>
  </si>
  <si>
    <t>ORD10058</t>
  </si>
  <si>
    <t>09/05/2025</t>
  </si>
  <si>
    <t>ORD10059</t>
  </si>
  <si>
    <t>23/05/2025</t>
  </si>
  <si>
    <t>ORD10060</t>
  </si>
  <si>
    <t>22/12/2025</t>
  </si>
  <si>
    <t>ORD10061</t>
  </si>
  <si>
    <t>31/07/2025</t>
  </si>
  <si>
    <t>ORD10062</t>
  </si>
  <si>
    <t>04/03/2025</t>
  </si>
  <si>
    <t>ORD10063</t>
  </si>
  <si>
    <t>13/09/2025</t>
  </si>
  <si>
    <t>ORD10064</t>
  </si>
  <si>
    <t>24/06/2025</t>
  </si>
  <si>
    <t>ORD10065</t>
  </si>
  <si>
    <t>06/10/2025</t>
  </si>
  <si>
    <t>ORD10066</t>
  </si>
  <si>
    <t>11/09/2025</t>
  </si>
  <si>
    <t>ORD10067</t>
  </si>
  <si>
    <t>02/12/2025</t>
  </si>
  <si>
    <t>ORD10068</t>
  </si>
  <si>
    <t>13/11/2025</t>
  </si>
  <si>
    <t>ORD10069</t>
  </si>
  <si>
    <t>29/01/2025</t>
  </si>
  <si>
    <t>Face Wash</t>
  </si>
  <si>
    <t>ORD10070</t>
  </si>
  <si>
    <t>12/09/2025</t>
  </si>
  <si>
    <t>ORD10071</t>
  </si>
  <si>
    <t>28/10/2025</t>
  </si>
  <si>
    <t>ORD10072</t>
  </si>
  <si>
    <t>22/10/2025</t>
  </si>
  <si>
    <t>ORD10073</t>
  </si>
  <si>
    <t>23/04/2025</t>
  </si>
  <si>
    <t>ORD10074</t>
  </si>
  <si>
    <t>01/06/2025</t>
  </si>
  <si>
    <t>ORD10075</t>
  </si>
  <si>
    <t>ORD10076</t>
  </si>
  <si>
    <t>02/10/2025</t>
  </si>
  <si>
    <t>ORD10077</t>
  </si>
  <si>
    <t>09/11/2025</t>
  </si>
  <si>
    <t>ORD10078</t>
  </si>
  <si>
    <t>01/05/2025</t>
  </si>
  <si>
    <t>ORD10079</t>
  </si>
  <si>
    <t>24/05/2025</t>
  </si>
  <si>
    <t>ORD10080</t>
  </si>
  <si>
    <t>ORD10081</t>
  </si>
  <si>
    <t>ORD10082</t>
  </si>
  <si>
    <t>ORD10083</t>
  </si>
  <si>
    <t>02/02/2025</t>
  </si>
  <si>
    <t>ORD10084</t>
  </si>
  <si>
    <t>03/09/2025</t>
  </si>
  <si>
    <t>ORD10085</t>
  </si>
  <si>
    <t>21/11/2025</t>
  </si>
  <si>
    <t>ORD10086</t>
  </si>
  <si>
    <t>ORD10087</t>
  </si>
  <si>
    <t>ORD10088</t>
  </si>
  <si>
    <t>04/11/2025</t>
  </si>
  <si>
    <t>ORD10089</t>
  </si>
  <si>
    <t>21/10/2025</t>
  </si>
  <si>
    <t>ORD10090</t>
  </si>
  <si>
    <t>ORD10091</t>
  </si>
  <si>
    <t>02/11/2025</t>
  </si>
  <si>
    <t>ORD10092</t>
  </si>
  <si>
    <t>01/08/2025</t>
  </si>
  <si>
    <t>ORD10093</t>
  </si>
  <si>
    <t>03/11/2025</t>
  </si>
  <si>
    <t>ORD10094</t>
  </si>
  <si>
    <t>08/03/2025</t>
  </si>
  <si>
    <t>ORD10095</t>
  </si>
  <si>
    <t>09/02/2025</t>
  </si>
  <si>
    <t>ORD10096</t>
  </si>
  <si>
    <t>ORD10097</t>
  </si>
  <si>
    <t>ORD10098</t>
  </si>
  <si>
    <t>05/11/2025</t>
  </si>
  <si>
    <t>ORD10099</t>
  </si>
  <si>
    <t>ORD10100</t>
  </si>
  <si>
    <t>ORD10101</t>
  </si>
  <si>
    <t>14/09/2025</t>
  </si>
  <si>
    <t>ORD10102</t>
  </si>
  <si>
    <t>06/07/2025</t>
  </si>
  <si>
    <t>ORD10103</t>
  </si>
  <si>
    <t>03/12/2025</t>
  </si>
  <si>
    <t>ORD10104</t>
  </si>
  <si>
    <t>26/11/2025</t>
  </si>
  <si>
    <t>ORD10105</t>
  </si>
  <si>
    <t>06/09/2025</t>
  </si>
  <si>
    <t>ORD10106</t>
  </si>
  <si>
    <t>ORD10107</t>
  </si>
  <si>
    <t>18/08/2025</t>
  </si>
  <si>
    <t>ORD10108</t>
  </si>
  <si>
    <t>06/11/2025</t>
  </si>
  <si>
    <t>ORD10109</t>
  </si>
  <si>
    <t>12/08/2025</t>
  </si>
  <si>
    <t>ORD10110</t>
  </si>
  <si>
    <t>13/06/2025</t>
  </si>
  <si>
    <t>ORD10111</t>
  </si>
  <si>
    <t>10/02/2025</t>
  </si>
  <si>
    <t>ORD10112</t>
  </si>
  <si>
    <t>03/08/2025</t>
  </si>
  <si>
    <t>ORD10113</t>
  </si>
  <si>
    <t>04/05/2025</t>
  </si>
  <si>
    <t>ORD10114</t>
  </si>
  <si>
    <t>09/01/2025</t>
  </si>
  <si>
    <t>ORD10115</t>
  </si>
  <si>
    <t>23/12/2025</t>
  </si>
  <si>
    <t>ORD10116</t>
  </si>
  <si>
    <t>23/07/2025</t>
  </si>
  <si>
    <t>ORD10117</t>
  </si>
  <si>
    <t>14/08/2025</t>
  </si>
  <si>
    <t>ORD10118</t>
  </si>
  <si>
    <t>07/10/2025</t>
  </si>
  <si>
    <t>ORD10119</t>
  </si>
  <si>
    <t>17/08/2025</t>
  </si>
  <si>
    <t>ORD10120</t>
  </si>
  <si>
    <t>16/01/2025</t>
  </si>
  <si>
    <t>ORD10121</t>
  </si>
  <si>
    <t>10/07/2025</t>
  </si>
  <si>
    <t>ORD10122</t>
  </si>
  <si>
    <t>ORD10123</t>
  </si>
  <si>
    <t>16/08/2025</t>
  </si>
  <si>
    <t>ORD10124</t>
  </si>
  <si>
    <t>ORD10125</t>
  </si>
  <si>
    <t>ORD10126</t>
  </si>
  <si>
    <t>ORD10127</t>
  </si>
  <si>
    <t>ORD10128</t>
  </si>
  <si>
    <t>16/10/2025</t>
  </si>
  <si>
    <t>ORD10129</t>
  </si>
  <si>
    <t>25/11/2025</t>
  </si>
  <si>
    <t>ORD10130</t>
  </si>
  <si>
    <t>ORD10131</t>
  </si>
  <si>
    <t>07/05/2025</t>
  </si>
  <si>
    <t>ORD10132</t>
  </si>
  <si>
    <t>21/09/2025</t>
  </si>
  <si>
    <t>ORD10133</t>
  </si>
  <si>
    <t>ORD10134</t>
  </si>
  <si>
    <t>ORD10135</t>
  </si>
  <si>
    <t>11/07/2025</t>
  </si>
  <si>
    <t>ORD10136</t>
  </si>
  <si>
    <t>18/03/2025</t>
  </si>
  <si>
    <t>ORD10137</t>
  </si>
  <si>
    <t>08/07/2025</t>
  </si>
  <si>
    <t>ORD10138</t>
  </si>
  <si>
    <t>29/03/2025</t>
  </si>
  <si>
    <t>ORD10139</t>
  </si>
  <si>
    <t>ORD10140</t>
  </si>
  <si>
    <t>ORD10141</t>
  </si>
  <si>
    <t>ORD10142</t>
  </si>
  <si>
    <t>ORD10143</t>
  </si>
  <si>
    <t>05/05/2025</t>
  </si>
  <si>
    <t>ORD10144</t>
  </si>
  <si>
    <t>09/10/2025</t>
  </si>
  <si>
    <t>ORD10145</t>
  </si>
  <si>
    <t>01/04/2025</t>
  </si>
  <si>
    <t>ORD10146</t>
  </si>
  <si>
    <t>20/05/2025</t>
  </si>
  <si>
    <t>ORD10147</t>
  </si>
  <si>
    <t>31/03/2025</t>
  </si>
  <si>
    <t>ORD10148</t>
  </si>
  <si>
    <t>16/07/2025</t>
  </si>
  <si>
    <t>ORD10149</t>
  </si>
  <si>
    <t>27/08/2025</t>
  </si>
  <si>
    <t>ORD10150</t>
  </si>
  <si>
    <t>20/03/2025</t>
  </si>
  <si>
    <t>ORD10151</t>
  </si>
  <si>
    <t>ORD10152</t>
  </si>
  <si>
    <t>16/02/2025</t>
  </si>
  <si>
    <t>ORD10153</t>
  </si>
  <si>
    <t>02/01/2025</t>
  </si>
  <si>
    <t>ORD10154</t>
  </si>
  <si>
    <t>11/03/2025</t>
  </si>
  <si>
    <t>ORD10155</t>
  </si>
  <si>
    <t>25/04/2025</t>
  </si>
  <si>
    <t>ORD10156</t>
  </si>
  <si>
    <t>27/02/2025</t>
  </si>
  <si>
    <t>ORD10157</t>
  </si>
  <si>
    <t>25/07/2025</t>
  </si>
  <si>
    <t>ORD10158</t>
  </si>
  <si>
    <t>15/03/2025</t>
  </si>
  <si>
    <t>ORD10159</t>
  </si>
  <si>
    <t>26/09/2025</t>
  </si>
  <si>
    <t>ORD10160</t>
  </si>
  <si>
    <t>ORD10161</t>
  </si>
  <si>
    <t>27/01/2025</t>
  </si>
  <si>
    <t>ORD10162</t>
  </si>
  <si>
    <t>ORD10163</t>
  </si>
  <si>
    <t>04/07/2025</t>
  </si>
  <si>
    <t>ORD10164</t>
  </si>
  <si>
    <t>11/10/2025</t>
  </si>
  <si>
    <t>ORD10165</t>
  </si>
  <si>
    <t>24/08/2025</t>
  </si>
  <si>
    <t>ORD10166</t>
  </si>
  <si>
    <t>12/03/2025</t>
  </si>
  <si>
    <t>ORD10167</t>
  </si>
  <si>
    <t>30/09/2025</t>
  </si>
  <si>
    <t>ORD10168</t>
  </si>
  <si>
    <t>ORD10169</t>
  </si>
  <si>
    <t>ORD10170</t>
  </si>
  <si>
    <t>11/08/2025</t>
  </si>
  <si>
    <t>ORD10171</t>
  </si>
  <si>
    <t>02/04/2025</t>
  </si>
  <si>
    <t>ORD10172</t>
  </si>
  <si>
    <t>ORD10173</t>
  </si>
  <si>
    <t>19/08/2025</t>
  </si>
  <si>
    <t>ORD10174</t>
  </si>
  <si>
    <t>18/05/2025</t>
  </si>
  <si>
    <t>ORD10175</t>
  </si>
  <si>
    <t>14/02/2025</t>
  </si>
  <si>
    <t>ORD10176</t>
  </si>
  <si>
    <t>30/05/2025</t>
  </si>
  <si>
    <t>ORD10177</t>
  </si>
  <si>
    <t>16/03/2025</t>
  </si>
  <si>
    <t>ORD10178</t>
  </si>
  <si>
    <t>23/08/2025</t>
  </si>
  <si>
    <t>ORD10179</t>
  </si>
  <si>
    <t>03/06/2025</t>
  </si>
  <si>
    <t>ORD10180</t>
  </si>
  <si>
    <t>ORD10181</t>
  </si>
  <si>
    <t>21/12/2025</t>
  </si>
  <si>
    <t>ORD10182</t>
  </si>
  <si>
    <t>26/10/2025</t>
  </si>
  <si>
    <t>ORD10183</t>
  </si>
  <si>
    <t>27/03/2025</t>
  </si>
  <si>
    <t>ORD10184</t>
  </si>
  <si>
    <t>ORD10185</t>
  </si>
  <si>
    <t>22/08/2025</t>
  </si>
  <si>
    <t>ORD10186</t>
  </si>
  <si>
    <t>25/06/2025</t>
  </si>
  <si>
    <t>ORD10187</t>
  </si>
  <si>
    <t>06/04/2025</t>
  </si>
  <si>
    <t>ORD10188</t>
  </si>
  <si>
    <t>23/10/2025</t>
  </si>
  <si>
    <t>ORD10189</t>
  </si>
  <si>
    <t>ORD10190</t>
  </si>
  <si>
    <t>03/05/2025</t>
  </si>
  <si>
    <t>ORD10191</t>
  </si>
  <si>
    <t>12/10/2025</t>
  </si>
  <si>
    <t>ORD10192</t>
  </si>
  <si>
    <t>ORD10193</t>
  </si>
  <si>
    <t>28/03/2025</t>
  </si>
  <si>
    <t>ORD10194</t>
  </si>
  <si>
    <t>06/08/2025</t>
  </si>
  <si>
    <t>ORD10195</t>
  </si>
  <si>
    <t>30/12/2025</t>
  </si>
  <si>
    <t>ORD10196</t>
  </si>
  <si>
    <t>ORD10197</t>
  </si>
  <si>
    <t>ORD10198</t>
  </si>
  <si>
    <t>17/06/2025</t>
  </si>
  <si>
    <t>ORD10199</t>
  </si>
  <si>
    <t>ORD10200</t>
  </si>
  <si>
    <t>ORD10201</t>
  </si>
  <si>
    <t>12/02/2025</t>
  </si>
  <si>
    <t>ORD10202</t>
  </si>
  <si>
    <t>02/09/2025</t>
  </si>
  <si>
    <t>ORD10203</t>
  </si>
  <si>
    <t>ORD10204</t>
  </si>
  <si>
    <t>ORD10205</t>
  </si>
  <si>
    <t>29/06/2025</t>
  </si>
  <si>
    <t>ORD10206</t>
  </si>
  <si>
    <t>20/07/2025</t>
  </si>
  <si>
    <t>ORD10207</t>
  </si>
  <si>
    <t>18/07/2025</t>
  </si>
  <si>
    <t>ORD10208</t>
  </si>
  <si>
    <t>17/09/2025</t>
  </si>
  <si>
    <t>ORD10209</t>
  </si>
  <si>
    <t>21/03/2025</t>
  </si>
  <si>
    <t>ORD10210</t>
  </si>
  <si>
    <t>03/03/2025</t>
  </si>
  <si>
    <t>ORD10211</t>
  </si>
  <si>
    <t>21/06/2025</t>
  </si>
  <si>
    <t>ORD10212</t>
  </si>
  <si>
    <t>ORD10213</t>
  </si>
  <si>
    <t>ORD10214</t>
  </si>
  <si>
    <t>ORD10215</t>
  </si>
  <si>
    <t>ORD10216</t>
  </si>
  <si>
    <t>30/04/2025</t>
  </si>
  <si>
    <t>ORD10217</t>
  </si>
  <si>
    <t>14/03/2025</t>
  </si>
  <si>
    <t>ORD10218</t>
  </si>
  <si>
    <t>23/11/2025</t>
  </si>
  <si>
    <t>ORD10219</t>
  </si>
  <si>
    <t>ORD10220</t>
  </si>
  <si>
    <t>17/04/2025</t>
  </si>
  <si>
    <t>ORD10221</t>
  </si>
  <si>
    <t>31/12/2025</t>
  </si>
  <si>
    <t>ORD10222</t>
  </si>
  <si>
    <t>ORD10223</t>
  </si>
  <si>
    <t>03/02/2025</t>
  </si>
  <si>
    <t>ORD10224</t>
  </si>
  <si>
    <t>15/07/2025</t>
  </si>
  <si>
    <t>ORD10225</t>
  </si>
  <si>
    <t>ORD10226</t>
  </si>
  <si>
    <t>26/06/2025</t>
  </si>
  <si>
    <t>ORD10227</t>
  </si>
  <si>
    <t>23/03/2025</t>
  </si>
  <si>
    <t>ORD10228</t>
  </si>
  <si>
    <t>31/10/2025</t>
  </si>
  <si>
    <t>ORD10229</t>
  </si>
  <si>
    <t>20/01/2025</t>
  </si>
  <si>
    <t>ORD10230</t>
  </si>
  <si>
    <t>15/06/2025</t>
  </si>
  <si>
    <t>ORD10231</t>
  </si>
  <si>
    <t>ORD10232</t>
  </si>
  <si>
    <t>ORD10233</t>
  </si>
  <si>
    <t>ORD10234</t>
  </si>
  <si>
    <t>ORD10235</t>
  </si>
  <si>
    <t>ORD10236</t>
  </si>
  <si>
    <t>ORD10237</t>
  </si>
  <si>
    <t>ORD10238</t>
  </si>
  <si>
    <t>ORD10239</t>
  </si>
  <si>
    <t>11/02/2025</t>
  </si>
  <si>
    <t>ORD10240</t>
  </si>
  <si>
    <t>09/07/2025</t>
  </si>
  <si>
    <t>ORD10241</t>
  </si>
  <si>
    <t>05/10/2025</t>
  </si>
  <si>
    <t>ORD10242</t>
  </si>
  <si>
    <t>ORD10243</t>
  </si>
  <si>
    <t>06/03/2025</t>
  </si>
  <si>
    <t>ORD10244</t>
  </si>
  <si>
    <t>ORD10245</t>
  </si>
  <si>
    <t>ORD10246</t>
  </si>
  <si>
    <t>26/07/2025</t>
  </si>
  <si>
    <t>ORD10247</t>
  </si>
  <si>
    <t>09/06/2025</t>
  </si>
  <si>
    <t>ORD10248</t>
  </si>
  <si>
    <t>ORD10249</t>
  </si>
  <si>
    <t>30/03/2025</t>
  </si>
  <si>
    <t>ORD10250</t>
  </si>
  <si>
    <t>22/11/2025</t>
  </si>
  <si>
    <t>ORD10251</t>
  </si>
  <si>
    <t>19/12/2025</t>
  </si>
  <si>
    <t>ORD10252</t>
  </si>
  <si>
    <t>20/09/2025</t>
  </si>
  <si>
    <t>ORD10253</t>
  </si>
  <si>
    <t>28/06/2025</t>
  </si>
  <si>
    <t>ORD10254</t>
  </si>
  <si>
    <t>ORD10255</t>
  </si>
  <si>
    <t>30/01/2025</t>
  </si>
  <si>
    <t>ORD10256</t>
  </si>
  <si>
    <t>ORD10257</t>
  </si>
  <si>
    <t>13/05/2025</t>
  </si>
  <si>
    <t>ORD10258</t>
  </si>
  <si>
    <t>ORD10259</t>
  </si>
  <si>
    <t>19/03/2025</t>
  </si>
  <si>
    <t>ORD10260</t>
  </si>
  <si>
    <t>03/01/2025</t>
  </si>
  <si>
    <t>ORD10261</t>
  </si>
  <si>
    <t>ORD10262</t>
  </si>
  <si>
    <t>ORD10263</t>
  </si>
  <si>
    <t>ORD10264</t>
  </si>
  <si>
    <t>29/10/2025</t>
  </si>
  <si>
    <t>ORD10265</t>
  </si>
  <si>
    <t>02/08/2025</t>
  </si>
  <si>
    <t>ORD10266</t>
  </si>
  <si>
    <t>15/11/2025</t>
  </si>
  <si>
    <t>ORD10267</t>
  </si>
  <si>
    <t>03/07/2025</t>
  </si>
  <si>
    <t>ORD10268</t>
  </si>
  <si>
    <t>ORD10269</t>
  </si>
  <si>
    <t>ORD10270</t>
  </si>
  <si>
    <t>ORD10271</t>
  </si>
  <si>
    <t>ORD10272</t>
  </si>
  <si>
    <t>17/12/2025</t>
  </si>
  <si>
    <t>ORD10273</t>
  </si>
  <si>
    <t>10/08/2025</t>
  </si>
  <si>
    <t>ORD10274</t>
  </si>
  <si>
    <t>08/02/2025</t>
  </si>
  <si>
    <t>ORD10275</t>
  </si>
  <si>
    <t>15/02/2025</t>
  </si>
  <si>
    <t>ORD10276</t>
  </si>
  <si>
    <t>ORD10277</t>
  </si>
  <si>
    <t>19/02/2025</t>
  </si>
  <si>
    <t>ORD10278</t>
  </si>
  <si>
    <t>ORD10279</t>
  </si>
  <si>
    <t>ORD10280</t>
  </si>
  <si>
    <t>ORD10281</t>
  </si>
  <si>
    <t>ORD10282</t>
  </si>
  <si>
    <t>15/09/2025</t>
  </si>
  <si>
    <t>ORD10283</t>
  </si>
  <si>
    <t>ORD10284</t>
  </si>
  <si>
    <t>15/04/2025</t>
  </si>
  <si>
    <t>ORD10285</t>
  </si>
  <si>
    <t>ORD10286</t>
  </si>
  <si>
    <t>10/04/2025</t>
  </si>
  <si>
    <t>ORD10287</t>
  </si>
  <si>
    <t>ORD10288</t>
  </si>
  <si>
    <t>09/09/2025</t>
  </si>
  <si>
    <t>ORD10289</t>
  </si>
  <si>
    <t>20/04/2025</t>
  </si>
  <si>
    <t>ORD10290</t>
  </si>
  <si>
    <t>21/01/2025</t>
  </si>
  <si>
    <t>ORD10291</t>
  </si>
  <si>
    <t>30/11/2025</t>
  </si>
  <si>
    <t>ORD10292</t>
  </si>
  <si>
    <t>03/10/2025</t>
  </si>
  <si>
    <t>ORD10293</t>
  </si>
  <si>
    <t>06/02/2025</t>
  </si>
  <si>
    <t>ORD10294</t>
  </si>
  <si>
    <t>ORD10295</t>
  </si>
  <si>
    <t>ORD10296</t>
  </si>
  <si>
    <t>05/03/2025</t>
  </si>
  <si>
    <t>ORD10297</t>
  </si>
  <si>
    <t>12/11/2025</t>
  </si>
  <si>
    <t>ORD10298</t>
  </si>
  <si>
    <t>12/04/2025</t>
  </si>
  <si>
    <t>ORD10299</t>
  </si>
  <si>
    <t>04/12/2025</t>
  </si>
  <si>
    <t>ORD10300</t>
  </si>
  <si>
    <t>ORD10301</t>
  </si>
  <si>
    <t>ORD10302</t>
  </si>
  <si>
    <t>19/01/2025</t>
  </si>
  <si>
    <t>ORD10303</t>
  </si>
  <si>
    <t>06/01/2025</t>
  </si>
  <si>
    <t>ORD10304</t>
  </si>
  <si>
    <t>ORD10305</t>
  </si>
  <si>
    <t>ORD10306</t>
  </si>
  <si>
    <t>ORD10307</t>
  </si>
  <si>
    <t>ORD10308</t>
  </si>
  <si>
    <t>18/04/2025</t>
  </si>
  <si>
    <t>ORD10309</t>
  </si>
  <si>
    <t>ORD10310</t>
  </si>
  <si>
    <t>ORD10311</t>
  </si>
  <si>
    <t>28/04/2025</t>
  </si>
  <si>
    <t>ORD10312</t>
  </si>
  <si>
    <t>ORD10313</t>
  </si>
  <si>
    <t>ORD10314</t>
  </si>
  <si>
    <t>12/05/2025</t>
  </si>
  <si>
    <t>ORD10315</t>
  </si>
  <si>
    <t>ORD10316</t>
  </si>
  <si>
    <t>14/10/2025</t>
  </si>
  <si>
    <t>ORD10317</t>
  </si>
  <si>
    <t>23/06/2025</t>
  </si>
  <si>
    <t>ORD10318</t>
  </si>
  <si>
    <t>08/11/2025</t>
  </si>
  <si>
    <t>ORD10319</t>
  </si>
  <si>
    <t>ORD10320</t>
  </si>
  <si>
    <t>ORD10321</t>
  </si>
  <si>
    <t>26/04/2025</t>
  </si>
  <si>
    <t>ORD10322</t>
  </si>
  <si>
    <t>ORD10323</t>
  </si>
  <si>
    <t>ORD10324</t>
  </si>
  <si>
    <t>ORD10325</t>
  </si>
  <si>
    <t>16/04/2025</t>
  </si>
  <si>
    <t>ORD10326</t>
  </si>
  <si>
    <t>04/09/2025</t>
  </si>
  <si>
    <t>ORD10327</t>
  </si>
  <si>
    <t>ORD10328</t>
  </si>
  <si>
    <t>25/10/2025</t>
  </si>
  <si>
    <t>ORD10329</t>
  </si>
  <si>
    <t>ORD10330</t>
  </si>
  <si>
    <t>ORD10331</t>
  </si>
  <si>
    <t>ORD10332</t>
  </si>
  <si>
    <t>ORD10333</t>
  </si>
  <si>
    <t>11/12/2025</t>
  </si>
  <si>
    <t>ORD10334</t>
  </si>
  <si>
    <t>ORD10335</t>
  </si>
  <si>
    <t>ORD10336</t>
  </si>
  <si>
    <t>ORD10337</t>
  </si>
  <si>
    <t>ORD10338</t>
  </si>
  <si>
    <t>04/10/2025</t>
  </si>
  <si>
    <t>ORD10339</t>
  </si>
  <si>
    <t>ORD10340</t>
  </si>
  <si>
    <t>ORD10341</t>
  </si>
  <si>
    <t>22/07/2025</t>
  </si>
  <si>
    <t>ORD10342</t>
  </si>
  <si>
    <t>ORD10343</t>
  </si>
  <si>
    <t>ORD10344</t>
  </si>
  <si>
    <t>22/04/2025</t>
  </si>
  <si>
    <t>ORD10345</t>
  </si>
  <si>
    <t>ORD10346</t>
  </si>
  <si>
    <t>18/02/2025</t>
  </si>
  <si>
    <t>ORD10347</t>
  </si>
  <si>
    <t>ORD10348</t>
  </si>
  <si>
    <t>22/01/2025</t>
  </si>
  <si>
    <t>ORD10349</t>
  </si>
  <si>
    <t>26/12/2025</t>
  </si>
  <si>
    <t>ORD10350</t>
  </si>
  <si>
    <t>10/03/2025</t>
  </si>
  <si>
    <t>ORD10351</t>
  </si>
  <si>
    <t>ORD10352</t>
  </si>
  <si>
    <t>14/11/2025</t>
  </si>
  <si>
    <t>ORD10353</t>
  </si>
  <si>
    <t>26/02/2025</t>
  </si>
  <si>
    <t>ORD10354</t>
  </si>
  <si>
    <t>ORD10355</t>
  </si>
  <si>
    <t>ORD10356</t>
  </si>
  <si>
    <t>ORD10357</t>
  </si>
  <si>
    <t>ORD10358</t>
  </si>
  <si>
    <t>16/06/2025</t>
  </si>
  <si>
    <t>ORD10359</t>
  </si>
  <si>
    <t>ORD10360</t>
  </si>
  <si>
    <t>ORD10361</t>
  </si>
  <si>
    <t>ORD10362</t>
  </si>
  <si>
    <t>ORD10363</t>
  </si>
  <si>
    <t>01/12/2025</t>
  </si>
  <si>
    <t>ORD10364</t>
  </si>
  <si>
    <t>ORD10365</t>
  </si>
  <si>
    <t>24/07/2025</t>
  </si>
  <si>
    <t>ORD10366</t>
  </si>
  <si>
    <t>09/08/2025</t>
  </si>
  <si>
    <t>ORD10367</t>
  </si>
  <si>
    <t>ORD10368</t>
  </si>
  <si>
    <t>ORD10369</t>
  </si>
  <si>
    <t>ORD10370</t>
  </si>
  <si>
    <t>28/01/2025</t>
  </si>
  <si>
    <t>ORD10371</t>
  </si>
  <si>
    <t>ORD10372</t>
  </si>
  <si>
    <t>ORD10373</t>
  </si>
  <si>
    <t>ORD10374</t>
  </si>
  <si>
    <t>07/08/2025</t>
  </si>
  <si>
    <t>ORD10375</t>
  </si>
  <si>
    <t>ORD10376</t>
  </si>
  <si>
    <t>30/07/2025</t>
  </si>
  <si>
    <t>ORD10377</t>
  </si>
  <si>
    <t>ORD10378</t>
  </si>
  <si>
    <t>25/03/2025</t>
  </si>
  <si>
    <t>ORD10379</t>
  </si>
  <si>
    <t>ORD10380</t>
  </si>
  <si>
    <t>ORD10381</t>
  </si>
  <si>
    <t>ORD10382</t>
  </si>
  <si>
    <t>21/07/2025</t>
  </si>
  <si>
    <t>ORD10383</t>
  </si>
  <si>
    <t>ORD10384</t>
  </si>
  <si>
    <t>17/10/2025</t>
  </si>
  <si>
    <t>ORD10385</t>
  </si>
  <si>
    <t>ORD10386</t>
  </si>
  <si>
    <t>ORD10387</t>
  </si>
  <si>
    <t>ORD10388</t>
  </si>
  <si>
    <t>ORD10389</t>
  </si>
  <si>
    <t>27/09/2025</t>
  </si>
  <si>
    <t>ORD10390</t>
  </si>
  <si>
    <t>ORD10391</t>
  </si>
  <si>
    <t>ORD10392</t>
  </si>
  <si>
    <t>ORD10393</t>
  </si>
  <si>
    <t>19/06/2025</t>
  </si>
  <si>
    <t>ORD10394</t>
  </si>
  <si>
    <t>24/09/2025</t>
  </si>
  <si>
    <t>ORD10395</t>
  </si>
  <si>
    <t>12/07/2025</t>
  </si>
  <si>
    <t>ORD10396</t>
  </si>
  <si>
    <t>ORD10397</t>
  </si>
  <si>
    <t>05/09/2025</t>
  </si>
  <si>
    <t>ORD10398</t>
  </si>
  <si>
    <t>ORD10399</t>
  </si>
  <si>
    <t>24/11/2025</t>
  </si>
  <si>
    <t>ORD10400</t>
  </si>
  <si>
    <t>08/01/2025</t>
  </si>
  <si>
    <t>ORD10401</t>
  </si>
  <si>
    <t>ORD10402</t>
  </si>
  <si>
    <t>ORD10403</t>
  </si>
  <si>
    <t>08/06/2025</t>
  </si>
  <si>
    <t>ORD10404</t>
  </si>
  <si>
    <t>ORD10405</t>
  </si>
  <si>
    <t>ORD10406</t>
  </si>
  <si>
    <t>ORD10407</t>
  </si>
  <si>
    <t>ORD10408</t>
  </si>
  <si>
    <t>ORD10409</t>
  </si>
  <si>
    <t>ORD10410</t>
  </si>
  <si>
    <t>ORD10411</t>
  </si>
  <si>
    <t>13/03/2025</t>
  </si>
  <si>
    <t>ORD10412</t>
  </si>
  <si>
    <t>ORD10413</t>
  </si>
  <si>
    <t>ORD10414</t>
  </si>
  <si>
    <t>18/10/2025</t>
  </si>
  <si>
    <t>ORD10415</t>
  </si>
  <si>
    <t>ORD10416</t>
  </si>
  <si>
    <t>ORD10417</t>
  </si>
  <si>
    <t>24/10/2025</t>
  </si>
  <si>
    <t>ORD10418</t>
  </si>
  <si>
    <t>ORD10419</t>
  </si>
  <si>
    <t>03/04/2025</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</si>
  <si>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</si>
  <si>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</si>
  <si>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</si>
  <si>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</si>
  <si>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</si>
  <si>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</si>
  <si>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</si>
  <si>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</si>
  <si>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</si>
  <si>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</si>
  <si>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</si>
  <si>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</si>
  <si>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</si>
  <si>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</si>
  <si>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</si>
  <si>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</si>
  <si>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</si>
  <si>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</si>
  <si>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</si>
  <si>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</si>
  <si>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18/11/2025</t>
  </si>
  <si>
    <t>ORD10440</t>
  </si>
  <si>
    <t>ORD10441</t>
  </si>
  <si>
    <t>ORD10442</t>
  </si>
  <si>
    <t>ORD10443</t>
  </si>
  <si>
    <t>ORD10444</t>
  </si>
  <si>
    <t>20/11/2025</t>
  </si>
  <si>
    <t>ORD10445</t>
  </si>
  <si>
    <t>ORD10446</t>
  </si>
  <si>
    <t>ORD10447</t>
  </si>
  <si>
    <t>ORD10448</t>
  </si>
  <si>
    <t>ORD10449</t>
  </si>
  <si>
    <t>ORD10450</t>
  </si>
  <si>
    <t>19/05/2025</t>
  </si>
  <si>
    <t>ORD10451</t>
  </si>
  <si>
    <t>07/07/2025</t>
  </si>
  <si>
    <t>ORD10452</t>
  </si>
  <si>
    <t>ORD10453</t>
  </si>
  <si>
    <t>20/08/2025</t>
  </si>
  <si>
    <t>ORD10454</t>
  </si>
  <si>
    <t>ORD10455</t>
  </si>
  <si>
    <t>27/11/2025</t>
  </si>
  <si>
    <t>ORD10456</t>
  </si>
  <si>
    <t>ORD10457</t>
  </si>
  <si>
    <t>ORD10458</t>
  </si>
  <si>
    <t>ORD10459</t>
  </si>
  <si>
    <t>01/10/2025</t>
  </si>
  <si>
    <t>ORD10460</t>
  </si>
  <si>
    <t>ORD10461</t>
  </si>
  <si>
    <t>ORD10462</t>
  </si>
  <si>
    <t>ORD10463</t>
  </si>
  <si>
    <t>ORD10464</t>
  </si>
  <si>
    <t>ORD10465</t>
  </si>
  <si>
    <t>ORD10466</t>
  </si>
  <si>
    <t>ORD10467</t>
  </si>
  <si>
    <t>ORD10468</t>
  </si>
  <si>
    <t>ORD10469</t>
  </si>
  <si>
    <t>ORD10470</t>
  </si>
  <si>
    <t>ORD10471</t>
  </si>
  <si>
    <t>ORD10472</t>
  </si>
  <si>
    <t>ORD10473</t>
  </si>
  <si>
    <t>02/03/2025</t>
  </si>
  <si>
    <t>ORD10474</t>
  </si>
  <si>
    <t>ORD10475</t>
  </si>
  <si>
    <t>ORD10476</t>
  </si>
  <si>
    <t>16/09/2025</t>
  </si>
  <si>
    <t>ORD10477</t>
  </si>
  <si>
    <t>ORD10478</t>
  </si>
  <si>
    <t>ORD10479</t>
  </si>
  <si>
    <t>18/12/2025</t>
  </si>
  <si>
    <t>ORD10480</t>
  </si>
  <si>
    <t>ORD10481</t>
  </si>
  <si>
    <t>ORD10482</t>
  </si>
  <si>
    <t>17/03/2025</t>
  </si>
  <si>
    <t>ORD10483</t>
  </si>
  <si>
    <t>ORD10484</t>
  </si>
  <si>
    <t>ORD10485</t>
  </si>
  <si>
    <t>15/08/2025</t>
  </si>
  <si>
    <t>ORD10486</t>
  </si>
  <si>
    <t>07/09/2025</t>
  </si>
  <si>
    <t>ORD10487</t>
  </si>
  <si>
    <t>ORD10488</t>
  </si>
  <si>
    <t>08/08/2025</t>
  </si>
  <si>
    <t>ORD10489</t>
  </si>
  <si>
    <t>ORD10490</t>
  </si>
  <si>
    <t>ORD10491</t>
  </si>
  <si>
    <t>ORD10492</t>
  </si>
  <si>
    <t>ORD10493</t>
  </si>
  <si>
    <t>ORD10494</t>
  </si>
  <si>
    <t>ORD10495</t>
  </si>
  <si>
    <t>ORD10496</t>
  </si>
  <si>
    <t>ORD10497</t>
  </si>
  <si>
    <t>ORD10498</t>
  </si>
  <si>
    <t>ORD10499</t>
  </si>
  <si>
    <t>ORD10500</t>
  </si>
  <si>
    <t>29/07/2025</t>
  </si>
  <si>
    <t>Count of Order_ID</t>
  </si>
  <si>
    <t>Sum of Sales</t>
  </si>
  <si>
    <t>Sum of Quantity</t>
  </si>
  <si>
    <t>Average of Rating</t>
  </si>
  <si>
    <t>Average of Delivery</t>
  </si>
  <si>
    <t>Values</t>
  </si>
  <si>
    <t>Total of Sales</t>
  </si>
  <si>
    <t>Row Labels</t>
  </si>
  <si>
    <t>Grand Total</t>
  </si>
  <si>
    <t>Total</t>
  </si>
  <si>
    <t xml:space="preserve">Name </t>
  </si>
  <si>
    <t>category</t>
  </si>
  <si>
    <t>sales($)</t>
  </si>
  <si>
    <t>total</t>
  </si>
  <si>
    <t>state</t>
  </si>
  <si>
    <t xml:space="preserve"> </t>
  </si>
  <si>
    <t>sales</t>
  </si>
  <si>
    <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</si>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</sst>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quot;M&quot;"/>
    <numFmt numFmtId="165" formatCode="0.0,&quot;K&quot;"/>
    <numFmt numFmtId="166" formatCode="_(&quot;$&quot;* #,##0_);_(&quot;$&quot;* \(#,##0\);_(&quot;$&quot;* &quot;-&quot;??_);_(@_)"/>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4"/>
      <color theme="3" tint="0.89999084444715716"/>
      <name val="Algerian"/>
      <family val="5"/>
    </font>
    <font>
      <b/>
      <sz val="8"/>
      <color rgb="FF000000"/>
      <name val="Aptos Display"/>
      <family val="2"/>
    </font>
  </fonts>
  <fills count="6">
    <fill>
      <patternFill patternType="none"/>
    </fill>
    <fill>
      <patternFill patternType="gray125"/>
    </fill>
    <fill>
      <patternFill patternType="solid">
        <fgColor theme="7"/>
        <bgColor indexed="64"/>
      </patternFill>
    </fill>
    <fill>
      <patternFill patternType="solid">
        <fgColor theme="5" tint="-0.249977111117893"/>
        <bgColor indexed="64"/>
      </patternFill>
    </fill>
    <fill>
      <patternFill patternType="solid">
        <fgColor theme="3" tint="0.499984740745262"/>
        <bgColor indexed="64"/>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xf numFmtId="166" fontId="0" fillId="0" borderId="0" xfId="1" applyNumberFormat="1" applyFont="1"/>
    <xf numFmtId="0" fontId="2" fillId="2" borderId="0" xfId="0" applyFont="1" applyFill="1"/>
    <xf numFmtId="0" fontId="0" fillId="3" borderId="0" xfId="0" applyFill="1"/>
    <xf numFmtId="166" fontId="0" fillId="3" borderId="0" xfId="0" applyNumberFormat="1" applyFill="1"/>
    <xf numFmtId="0" fontId="0" fillId="4" borderId="0" xfId="0" applyFill="1"/>
    <xf numFmtId="0" fontId="0" fillId="4" borderId="1" xfId="0" applyFill="1" applyBorder="1"/>
    <xf numFmtId="0" fontId="0" fillId="0" borderId="1" xfId="0" applyBorder="1"/>
    <xf numFmtId="164" fontId="0" fillId="0" borderId="1" xfId="0" applyNumberFormat="1" applyBorder="1"/>
    <xf numFmtId="9" fontId="0" fillId="0" borderId="1" xfId="2" applyFont="1" applyBorder="1"/>
    <xf numFmtId="0" fontId="0" fillId="5" borderId="1" xfId="0" applyFill="1" applyBorder="1"/>
    <xf numFmtId="164" fontId="0" fillId="5" borderId="1" xfId="0" applyNumberFormat="1" applyFill="1" applyBorder="1"/>
    <xf numFmtId="9" fontId="0" fillId="5" borderId="1" xfId="2" applyFont="1" applyFill="1" applyBorder="1"/>
    <xf numFmtId="0" fontId="3" fillId="0" borderId="0" xfId="0" applyFont="1"/>
    <xf numFmtId="0" fontId="0" fillId="0" borderId="0" xfId="0" applyAlignment="1">
      <alignment horizontal="right"/>
    </xf>
    <xf numFmtId="0" fontId="2" fillId="0" borderId="0" xfId="0" applyFont="1"/>
    <xf numFmtId="0" fontId="4" fillId="0" borderId="0" xfId="0" applyFont="1" applyAlignment="1">
      <alignment horizontal="center" vertical="center"/>
    </xf>
    <xf numFmtId="0" fontId="0" fillId="0" borderId="0" xfId="0" applyNumberFormat="1"/>
  </cellXfs>
  <cellStyles count="3">
    <cellStyle name="Currency" xfId="1" builtinId="4"/>
    <cellStyle name="Normal" xfId="0" builtinId="0"/>
    <cellStyle name="Percent" xfId="2" builtinId="5"/>
  </cellStyles>
  <dxfs count="264">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4" formatCode="0.0,,&quot;M&quot;"/>
    </dxf>
    <dxf>
      <numFmt numFmtId="165" formatCode="0.0,&quot;K&quot;"/>
    </dxf>
    <dxf>
      <numFmt numFmtId="2" formatCode="0.00"/>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5" formatCode="0.0,&quot;K&quot;"/>
    </dxf>
    <dxf>
      <numFmt numFmtId="164" formatCode="0.0,,&quot;M&quot;"/>
    </dxf>
    <dxf>
      <numFmt numFmtId="2" formatCode="0.00"/>
    </dxf>
  </dxfs>
  <tableStyles count="0" defaultTableStyle="TableStyleMedium2" defaultPivotStyle="PivotStyleLight16"/>
  <colors>
    <mruColors>
      <color rgb="FF00B050"/>
      <color rgb="FFF4B183"/>
      <color rgb="FFFF4D6D"/>
      <color rgb="FF8E44AD"/>
      <color rgb="FFD061FD"/>
      <color rgb="FFFFF8E5"/>
      <color rgb="FFFFF0F3"/>
      <color rgb="FFE8FFF0"/>
      <color rgb="FFF7EDFF"/>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.xlsx]Sheet1!PivotTable2</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1000">
                <a:srgbClr val="00B0F0"/>
              </a:gs>
              <a:gs pos="53000">
                <a:schemeClr val="accent1">
                  <a:lumMod val="45000"/>
                  <a:lumOff val="55000"/>
                </a:schemeClr>
              </a:gs>
              <a:gs pos="87000">
                <a:srgbClr val="E8FFF0"/>
              </a:gs>
              <a:gs pos="89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241764723229832E-3"/>
          <c:y val="8.3793405134702983E-3"/>
          <c:w val="0.99044157290722412"/>
          <c:h val="0.98282800856789454"/>
        </c:manualLayout>
      </c:layout>
      <c:areaChart>
        <c:grouping val="standard"/>
        <c:varyColors val="0"/>
        <c:ser>
          <c:idx val="0"/>
          <c:order val="0"/>
          <c:tx>
            <c:strRef>
              <c:f>Sheet1!$E$3</c:f>
              <c:strCache>
                <c:ptCount val="1"/>
                <c:pt idx="0">
                  <c:v>Total</c:v>
                </c:pt>
              </c:strCache>
            </c:strRef>
          </c:tx>
          <c:spPr>
            <a:gradFill>
              <a:gsLst>
                <a:gs pos="11000">
                  <a:srgbClr val="00B0F0"/>
                </a:gs>
                <a:gs pos="53000">
                  <a:schemeClr val="accent1">
                    <a:lumMod val="45000"/>
                    <a:lumOff val="55000"/>
                  </a:schemeClr>
                </a:gs>
                <a:gs pos="87000">
                  <a:srgbClr val="E8FFF0"/>
                </a:gs>
                <a:gs pos="89000">
                  <a:schemeClr val="accent1">
                    <a:lumMod val="30000"/>
                    <a:lumOff val="70000"/>
                  </a:schemeClr>
                </a:gs>
              </a:gsLst>
              <a:lin ang="5400000" scaled="1"/>
            </a:gradFill>
            <a:ln>
              <a:noFill/>
            </a:ln>
            <a:effectLst/>
          </c:spPr>
          <c:cat>
            <c:strRef>
              <c:f>Sheet1!$D$4:$D$5</c:f>
              <c:strCache>
                <c:ptCount val="1"/>
                <c:pt idx="0">
                  <c:v>Aug</c:v>
                </c:pt>
              </c:strCache>
            </c:strRef>
          </c:cat>
          <c:val>
            <c:numRef>
              <c:f>Sheet1!$E$4:$E$5</c:f>
              <c:numCache>
                <c:formatCode>0.0,,"M"</c:formatCode>
                <c:ptCount val="1"/>
                <c:pt idx="0">
                  <c:v>385898</c:v>
                </c:pt>
              </c:numCache>
            </c:numRef>
          </c:val>
          <c:extLst>
            <c:ext xmlns:c16="http://schemas.microsoft.com/office/drawing/2014/chart" uri="{C3380CC4-5D6E-409C-BE32-E72D297353CC}">
              <c16:uniqueId val="{00000000-A6CD-487E-A563-CA2E00602EC4}"/>
            </c:ext>
          </c:extLst>
        </c:ser>
        <c:dLbls>
          <c:showLegendKey val="0"/>
          <c:showVal val="0"/>
          <c:showCatName val="0"/>
          <c:showSerName val="0"/>
          <c:showPercent val="0"/>
          <c:showBubbleSize val="0"/>
        </c:dLbls>
        <c:axId val="378398415"/>
        <c:axId val="2036030063"/>
      </c:areaChart>
      <c:catAx>
        <c:axId val="378398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030063"/>
        <c:crosses val="autoZero"/>
        <c:auto val="1"/>
        <c:lblAlgn val="ctr"/>
        <c:lblOffset val="100"/>
        <c:noMultiLvlLbl val="0"/>
      </c:catAx>
      <c:valAx>
        <c:axId val="2036030063"/>
        <c:scaling>
          <c:orientation val="minMax"/>
        </c:scaling>
        <c:delete val="0"/>
        <c:axPos val="l"/>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98415"/>
        <c:crosses val="autoZero"/>
        <c:crossBetween val="midCat"/>
      </c:valAx>
      <c:spPr>
        <a:gradFill>
          <a:gsLst>
            <a:gs pos="0">
              <a:srgbClr val="E8FFF0"/>
            </a:gs>
            <a:gs pos="55950">
              <a:srgbClr val="8FC7EB"/>
            </a:gs>
            <a:gs pos="33000">
              <a:schemeClr val="tx2">
                <a:lumMod val="25000"/>
                <a:lumOff val="75000"/>
              </a:schemeClr>
            </a:gs>
            <a:gs pos="16000">
              <a:schemeClr val="bg1"/>
            </a:gs>
            <a:gs pos="100000">
              <a:schemeClr val="accent1">
                <a:lumMod val="30000"/>
                <a:lumOff val="70000"/>
              </a:schemeClr>
            </a:gs>
          </a:gsLst>
          <a:lin ang="5400000" scaled="1"/>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469900"/>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.xlsx]Sheet1!PivotTable3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39000">
                <a:srgbClr val="00B050"/>
              </a:gs>
              <a:gs pos="81000">
                <a:srgbClr val="8FC7EB"/>
              </a:gs>
              <a:gs pos="33000">
                <a:schemeClr val="tx2">
                  <a:lumMod val="25000"/>
                  <a:lumOff val="75000"/>
                </a:schemeClr>
              </a:gs>
              <a:gs pos="0">
                <a:schemeClr val="accent6">
                  <a:lumMod val="40000"/>
                  <a:lumOff val="60000"/>
                </a:schemeClr>
              </a:gs>
              <a:gs pos="31000">
                <a:schemeClr val="accent6">
                  <a:lumMod val="40000"/>
                  <a:lumOff val="60000"/>
                </a:schemeClr>
              </a:gs>
              <a:gs pos="84000">
                <a:srgbClr val="FFF0F3"/>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39000">
                <a:srgbClr val="00B050"/>
              </a:gs>
              <a:gs pos="81000">
                <a:srgbClr val="8FC7EB"/>
              </a:gs>
              <a:gs pos="33000">
                <a:schemeClr val="tx2">
                  <a:lumMod val="25000"/>
                  <a:lumOff val="75000"/>
                </a:schemeClr>
              </a:gs>
              <a:gs pos="0">
                <a:schemeClr val="accent6">
                  <a:lumMod val="40000"/>
                  <a:lumOff val="60000"/>
                </a:schemeClr>
              </a:gs>
              <a:gs pos="31000">
                <a:schemeClr val="accent6">
                  <a:lumMod val="40000"/>
                  <a:lumOff val="60000"/>
                </a:schemeClr>
              </a:gs>
              <a:gs pos="84000">
                <a:srgbClr val="FFF0F3"/>
              </a:gs>
            </a:gsLst>
            <a:lin ang="5400000" scaled="1"/>
          </a:gradFill>
          <a:ln>
            <a:noFill/>
          </a:ln>
          <a:effectLst/>
        </c:spPr>
      </c:pivotFmt>
      <c:pivotFmt>
        <c:idx val="6"/>
      </c:pivotFmt>
    </c:pivotFmts>
    <c:plotArea>
      <c:layout>
        <c:manualLayout>
          <c:layoutTarget val="inner"/>
          <c:xMode val="edge"/>
          <c:yMode val="edge"/>
          <c:x val="0.2344016908107481"/>
          <c:y val="0"/>
          <c:w val="0.73194332212053448"/>
          <c:h val="0.82542461639410458"/>
        </c:manualLayout>
      </c:layout>
      <c:barChart>
        <c:barDir val="bar"/>
        <c:grouping val="clustered"/>
        <c:varyColors val="0"/>
        <c:ser>
          <c:idx val="0"/>
          <c:order val="0"/>
          <c:tx>
            <c:strRef>
              <c:f>Sheet1!$I$3</c:f>
              <c:strCache>
                <c:ptCount val="1"/>
                <c:pt idx="0">
                  <c:v>Total</c:v>
                </c:pt>
              </c:strCache>
            </c:strRef>
          </c:tx>
          <c:spPr>
            <a:gradFill>
              <a:gsLst>
                <a:gs pos="39000">
                  <a:srgbClr val="00B050"/>
                </a:gs>
                <a:gs pos="81000">
                  <a:srgbClr val="8FC7EB"/>
                </a:gs>
                <a:gs pos="33000">
                  <a:schemeClr val="tx2">
                    <a:lumMod val="25000"/>
                    <a:lumOff val="75000"/>
                  </a:schemeClr>
                </a:gs>
                <a:gs pos="0">
                  <a:schemeClr val="accent6">
                    <a:lumMod val="40000"/>
                    <a:lumOff val="60000"/>
                  </a:schemeClr>
                </a:gs>
                <a:gs pos="31000">
                  <a:schemeClr val="accent6">
                    <a:lumMod val="40000"/>
                    <a:lumOff val="60000"/>
                  </a:schemeClr>
                </a:gs>
                <a:gs pos="84000">
                  <a:srgbClr val="FFF0F3"/>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Sheet1!$H$4:$H$8</c:f>
              <c:strCache>
                <c:ptCount val="4"/>
                <c:pt idx="0">
                  <c:v>Beauty</c:v>
                </c:pt>
                <c:pt idx="1">
                  <c:v>Home</c:v>
                </c:pt>
                <c:pt idx="2">
                  <c:v>Fashion</c:v>
                </c:pt>
                <c:pt idx="3">
                  <c:v>Electronics</c:v>
                </c:pt>
              </c:strCache>
            </c:strRef>
          </c:cat>
          <c:val>
            <c:numRef>
              <c:f>Sheet1!$I$4:$I$8</c:f>
              <c:numCache>
                <c:formatCode>0.0,,"M"</c:formatCode>
                <c:ptCount val="4"/>
                <c:pt idx="0">
                  <c:v>21170</c:v>
                </c:pt>
                <c:pt idx="1">
                  <c:v>57912</c:v>
                </c:pt>
                <c:pt idx="2">
                  <c:v>58224</c:v>
                </c:pt>
                <c:pt idx="3">
                  <c:v>248592</c:v>
                </c:pt>
              </c:numCache>
            </c:numRef>
          </c:val>
          <c:extLst>
            <c:ext xmlns:c16="http://schemas.microsoft.com/office/drawing/2014/chart" uri="{C3380CC4-5D6E-409C-BE32-E72D297353CC}">
              <c16:uniqueId val="{00000000-B61E-44C3-90D6-D36D2840957B}"/>
            </c:ext>
          </c:extLst>
        </c:ser>
        <c:dLbls>
          <c:dLblPos val="outEnd"/>
          <c:showLegendKey val="0"/>
          <c:showVal val="1"/>
          <c:showCatName val="0"/>
          <c:showSerName val="0"/>
          <c:showPercent val="0"/>
          <c:showBubbleSize val="0"/>
        </c:dLbls>
        <c:gapWidth val="182"/>
        <c:axId val="1119168927"/>
        <c:axId val="2035972463"/>
      </c:barChart>
      <c:catAx>
        <c:axId val="11191689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35972463"/>
        <c:crosses val="autoZero"/>
        <c:auto val="1"/>
        <c:lblAlgn val="ctr"/>
        <c:lblOffset val="100"/>
        <c:noMultiLvlLbl val="0"/>
      </c:catAx>
      <c:valAx>
        <c:axId val="2035972463"/>
        <c:scaling>
          <c:orientation val="minMax"/>
        </c:scaling>
        <c:delete val="1"/>
        <c:axPos val="b"/>
        <c:numFmt formatCode="0.0,,&quot;M&quot;" sourceLinked="1"/>
        <c:majorTickMark val="out"/>
        <c:minorTickMark val="none"/>
        <c:tickLblPos val="nextTo"/>
        <c:crossAx val="111916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Sheet1!$AD$14</c:f>
              <c:strCache>
                <c:ptCount val="1"/>
                <c:pt idx="0">
                  <c:v>sales</c:v>
                </c:pt>
              </c:strCache>
            </c:strRef>
          </c:tx>
          <c:spPr>
            <a:noFill/>
            <a:ln>
              <a:noFill/>
            </a:ln>
            <a:effectLst/>
          </c:spPr>
          <c:invertIfNegative val="0"/>
          <c:dLbls>
            <c:delete val="1"/>
          </c:dLbls>
          <c:cat>
            <c:strRef>
              <c:f>Sheet1!$AC$15:$AC$21</c:f>
              <c:strCache>
                <c:ptCount val="7"/>
                <c:pt idx="0">
                  <c:v>Delhi</c:v>
                </c:pt>
                <c:pt idx="1">
                  <c:v>Karnataka</c:v>
                </c:pt>
                <c:pt idx="2">
                  <c:v>Maharashtra</c:v>
                </c:pt>
                <c:pt idx="3">
                  <c:v>Tamil Nadu</c:v>
                </c:pt>
                <c:pt idx="4">
                  <c:v>Telangana</c:v>
                </c:pt>
                <c:pt idx="5">
                  <c:v>Grand Total</c:v>
                </c:pt>
                <c:pt idx="6">
                  <c:v>TOTAL</c:v>
                </c:pt>
              </c:strCache>
            </c:strRef>
          </c:cat>
          <c:val>
            <c:numRef>
              <c:f>Sheet1!$AD$15:$AD$21</c:f>
              <c:numCache>
                <c:formatCode>0.0,,"M"</c:formatCode>
                <c:ptCount val="7"/>
                <c:pt idx="0">
                  <c:v>43878</c:v>
                </c:pt>
                <c:pt idx="1">
                  <c:v>0</c:v>
                </c:pt>
                <c:pt idx="2">
                  <c:v>276960</c:v>
                </c:pt>
                <c:pt idx="3">
                  <c:v>1836</c:v>
                </c:pt>
                <c:pt idx="4">
                  <c:v>8480</c:v>
                </c:pt>
                <c:pt idx="5">
                  <c:v>54744</c:v>
                </c:pt>
                <c:pt idx="6">
                  <c:v>0</c:v>
                </c:pt>
              </c:numCache>
            </c:numRef>
          </c:val>
          <c:extLst>
            <c:ext xmlns:c16="http://schemas.microsoft.com/office/drawing/2014/chart" uri="{C3380CC4-5D6E-409C-BE32-E72D297353CC}">
              <c16:uniqueId val="{00000000-9480-400D-99E7-1EE91DC9425F}"/>
            </c:ext>
          </c:extLst>
        </c:ser>
        <c:ser>
          <c:idx val="1"/>
          <c:order val="1"/>
          <c:tx>
            <c:strRef>
              <c:f>Sheet1!$AE$14</c:f>
              <c:strCache>
                <c:ptCount val="1"/>
                <c:pt idx="0">
                  <c:v>%</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Sheet1!$AC$15:$AC$21</c:f>
              <c:strCache>
                <c:ptCount val="7"/>
                <c:pt idx="0">
                  <c:v>Delhi</c:v>
                </c:pt>
                <c:pt idx="1">
                  <c:v>Karnataka</c:v>
                </c:pt>
                <c:pt idx="2">
                  <c:v>Maharashtra</c:v>
                </c:pt>
                <c:pt idx="3">
                  <c:v>Tamil Nadu</c:v>
                </c:pt>
                <c:pt idx="4">
                  <c:v>Telangana</c:v>
                </c:pt>
                <c:pt idx="5">
                  <c:v>Grand Total</c:v>
                </c:pt>
                <c:pt idx="6">
                  <c:v>TOTAL</c:v>
                </c:pt>
              </c:strCache>
            </c:strRef>
          </c:cat>
          <c:val>
            <c:numRef>
              <c:f>Sheet1!$AE$15:$AE$21</c:f>
              <c:numCache>
                <c:formatCode>0%</c:formatCode>
                <c:ptCount val="7"/>
                <c:pt idx="0">
                  <c:v>0</c:v>
                </c:pt>
                <c:pt idx="1">
                  <c:v>0</c:v>
                </c:pt>
                <c:pt idx="2">
                  <c:v>0</c:v>
                </c:pt>
                <c:pt idx="3">
                  <c:v>0</c:v>
                </c:pt>
                <c:pt idx="4">
                  <c:v>0</c:v>
                </c:pt>
                <c:pt idx="5">
                  <c:v>0</c:v>
                </c:pt>
                <c:pt idx="6">
                  <c:v>1</c:v>
                </c:pt>
              </c:numCache>
            </c:numRef>
          </c:val>
          <c:extLst>
            <c:ext xmlns:c16="http://schemas.microsoft.com/office/drawing/2014/chart" uri="{C3380CC4-5D6E-409C-BE32-E72D297353CC}">
              <c16:uniqueId val="{00000001-9480-400D-99E7-1EE91DC9425F}"/>
            </c:ext>
          </c:extLst>
        </c:ser>
        <c:dLbls>
          <c:dLblPos val="ctr"/>
          <c:showLegendKey val="0"/>
          <c:showVal val="1"/>
          <c:showCatName val="0"/>
          <c:showSerName val="0"/>
          <c:showPercent val="0"/>
          <c:showBubbleSize val="0"/>
        </c:dLbls>
        <c:gapWidth val="150"/>
        <c:overlap val="100"/>
        <c:axId val="609343935"/>
        <c:axId val="1763278991"/>
      </c:barChart>
      <c:catAx>
        <c:axId val="6093439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3278991"/>
        <c:crosses val="autoZero"/>
        <c:auto val="1"/>
        <c:lblAlgn val="ctr"/>
        <c:lblOffset val="100"/>
        <c:noMultiLvlLbl val="0"/>
      </c:catAx>
      <c:valAx>
        <c:axId val="1763278991"/>
        <c:scaling>
          <c:orientation val="minMax"/>
        </c:scaling>
        <c:delete val="1"/>
        <c:axPos val="b"/>
        <c:numFmt formatCode="0%" sourceLinked="1"/>
        <c:majorTickMark val="out"/>
        <c:minorTickMark val="none"/>
        <c:tickLblPos val="nextTo"/>
        <c:crossAx val="60934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.xlsx]Sheet1!PivotTable4</c:name>
    <c:fmtId val="2"/>
  </c:pivotSource>
  <c:chart>
    <c:autoTitleDeleted val="1"/>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rgbClr val="D061FD"/>
              </a:gs>
              <a:gs pos="32000">
                <a:schemeClr val="bg1"/>
              </a:gs>
              <a:gs pos="69000">
                <a:srgbClr val="8E44AD"/>
              </a:gs>
              <a:gs pos="100000">
                <a:schemeClr val="accent1">
                  <a:lumMod val="30000"/>
                  <a:lumOff val="70000"/>
                </a:schemeClr>
              </a:gs>
            </a:gsLst>
            <a:lin ang="5400000" scaled="1"/>
          </a:gradFill>
          <a:ln>
            <a:noFill/>
          </a:ln>
          <a:effectLst/>
        </c:spPr>
        <c:dLbl>
          <c:idx val="0"/>
          <c:layout>
            <c:manualLayout>
              <c:x val="0.18727101941714649"/>
              <c:y val="-0.126332773977023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lumMod val="5000"/>
                  <a:lumOff val="95000"/>
                </a:schemeClr>
              </a:gs>
              <a:gs pos="74000">
                <a:schemeClr val="accent1">
                  <a:lumMod val="45000"/>
                  <a:lumOff val="55000"/>
                </a:schemeClr>
              </a:gs>
              <a:gs pos="71000">
                <a:schemeClr val="accent1">
                  <a:lumMod val="45000"/>
                  <a:lumOff val="55000"/>
                </a:schemeClr>
              </a:gs>
              <a:gs pos="100000">
                <a:schemeClr val="accent1">
                  <a:lumMod val="30000"/>
                  <a:lumOff val="70000"/>
                </a:schemeClr>
              </a:gs>
            </a:gsLst>
            <a:lin ang="5400000" scaled="1"/>
          </a:gradFill>
          <a:ln>
            <a:noFill/>
          </a:ln>
          <a:effectLst/>
        </c:spPr>
        <c:dLbl>
          <c:idx val="0"/>
          <c:layout>
            <c:manualLayout>
              <c:x val="0.15627886630450263"/>
              <c:y val="0.206448374281083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18000">
                <a:srgbClr val="00B050"/>
              </a:gs>
              <a:gs pos="100000">
                <a:srgbClr val="00B050"/>
              </a:gs>
              <a:gs pos="28000">
                <a:schemeClr val="bg1"/>
              </a:gs>
              <a:gs pos="0">
                <a:schemeClr val="accent1">
                  <a:lumMod val="45000"/>
                  <a:lumOff val="55000"/>
                </a:schemeClr>
              </a:gs>
              <a:gs pos="0">
                <a:schemeClr val="accent1">
                  <a:lumMod val="30000"/>
                  <a:lumOff val="70000"/>
                </a:schemeClr>
              </a:gs>
            </a:gsLst>
            <a:lin ang="5400000" scaled="1"/>
          </a:gradFill>
          <a:ln>
            <a:noFill/>
          </a:ln>
          <a:effectLst/>
        </c:spPr>
        <c:dLbl>
          <c:idx val="0"/>
          <c:layout>
            <c:manualLayout>
              <c:x val="-0.19045012784254681"/>
              <c:y val="0.139824017899401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38000">
                <a:schemeClr val="accent2">
                  <a:lumMod val="60000"/>
                  <a:lumOff val="40000"/>
                </a:schemeClr>
              </a:gs>
              <a:gs pos="83916">
                <a:schemeClr val="accent6">
                  <a:lumMod val="20000"/>
                  <a:lumOff val="80000"/>
                </a:schemeClr>
              </a:gs>
              <a:gs pos="64000">
                <a:schemeClr val="bg1"/>
              </a:gs>
            </a:gsLst>
            <a:lin ang="5400000" scaled="1"/>
          </a:gradFill>
          <a:ln>
            <a:noFill/>
          </a:ln>
          <a:effectLst/>
        </c:spPr>
        <c:dLbl>
          <c:idx val="0"/>
          <c:layout>
            <c:manualLayout>
              <c:x val="-0.19900710085657897"/>
              <c:y val="-0.126332773977023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716311623837717"/>
          <c:y val="0.27803809359895587"/>
          <c:w val="0.32529201192782836"/>
          <c:h val="0.51560808529639179"/>
        </c:manualLayout>
      </c:layout>
      <c:doughnutChart>
        <c:varyColors val="1"/>
        <c:ser>
          <c:idx val="0"/>
          <c:order val="0"/>
          <c:tx>
            <c:strRef>
              <c:f>Sheet1!$L$3</c:f>
              <c:strCache>
                <c:ptCount val="1"/>
                <c:pt idx="0">
                  <c:v>Total</c:v>
                </c:pt>
              </c:strCache>
            </c:strRef>
          </c:tx>
          <c:dPt>
            <c:idx val="0"/>
            <c:bubble3D val="0"/>
            <c:spPr>
              <a:gradFill rotWithShape="1">
                <a:gsLst>
                  <a:gs pos="0">
                    <a:srgbClr val="D061FD"/>
                  </a:gs>
                  <a:gs pos="32000">
                    <a:schemeClr val="bg1"/>
                  </a:gs>
                  <a:gs pos="69000">
                    <a:srgbClr val="8E44AD"/>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1-C5D3-4727-BA15-12BF234A5836}"/>
              </c:ext>
            </c:extLst>
          </c:dPt>
          <c:dPt>
            <c:idx val="1"/>
            <c:bubble3D val="0"/>
            <c:spPr>
              <a:gradFill rotWithShape="1">
                <a:gsLst>
                  <a:gs pos="0">
                    <a:schemeClr val="accent1">
                      <a:lumMod val="5000"/>
                      <a:lumOff val="95000"/>
                    </a:schemeClr>
                  </a:gs>
                  <a:gs pos="74000">
                    <a:schemeClr val="accent1">
                      <a:lumMod val="45000"/>
                      <a:lumOff val="55000"/>
                    </a:schemeClr>
                  </a:gs>
                  <a:gs pos="71000">
                    <a:schemeClr val="accent1">
                      <a:lumMod val="45000"/>
                      <a:lumOff val="5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3-C5D3-4727-BA15-12BF234A5836}"/>
              </c:ext>
            </c:extLst>
          </c:dPt>
          <c:dPt>
            <c:idx val="2"/>
            <c:bubble3D val="0"/>
            <c:spPr>
              <a:gradFill rotWithShape="1">
                <a:gsLst>
                  <a:gs pos="18000">
                    <a:srgbClr val="00B050"/>
                  </a:gs>
                  <a:gs pos="100000">
                    <a:srgbClr val="00B050"/>
                  </a:gs>
                  <a:gs pos="28000">
                    <a:schemeClr val="bg1"/>
                  </a:gs>
                  <a:gs pos="0">
                    <a:schemeClr val="accent1">
                      <a:lumMod val="45000"/>
                      <a:lumOff val="55000"/>
                    </a:schemeClr>
                  </a:gs>
                  <a:gs pos="0">
                    <a:schemeClr val="accent1">
                      <a:lumMod val="30000"/>
                      <a:lumOff val="70000"/>
                    </a:schemeClr>
                  </a:gs>
                </a:gsLst>
                <a:lin ang="5400000" scaled="1"/>
              </a:gradFill>
              <a:ln>
                <a:noFill/>
              </a:ln>
              <a:effectLst/>
            </c:spPr>
            <c:extLst>
              <c:ext xmlns:c16="http://schemas.microsoft.com/office/drawing/2014/chart" uri="{C3380CC4-5D6E-409C-BE32-E72D297353CC}">
                <c16:uniqueId val="{00000005-C5D3-4727-BA15-12BF234A5836}"/>
              </c:ext>
            </c:extLst>
          </c:dPt>
          <c:dPt>
            <c:idx val="3"/>
            <c:bubble3D val="0"/>
            <c:spPr>
              <a:gradFill rotWithShape="1">
                <a:gsLst>
                  <a:gs pos="38000">
                    <a:schemeClr val="accent2">
                      <a:lumMod val="60000"/>
                      <a:lumOff val="40000"/>
                    </a:schemeClr>
                  </a:gs>
                  <a:gs pos="83916">
                    <a:schemeClr val="accent6">
                      <a:lumMod val="20000"/>
                      <a:lumOff val="80000"/>
                    </a:schemeClr>
                  </a:gs>
                  <a:gs pos="64000">
                    <a:schemeClr val="bg1"/>
                  </a:gs>
                </a:gsLst>
                <a:lin ang="5400000" scaled="1"/>
              </a:gradFill>
              <a:ln>
                <a:noFill/>
              </a:ln>
              <a:effectLst/>
            </c:spPr>
            <c:extLst>
              <c:ext xmlns:c16="http://schemas.microsoft.com/office/drawing/2014/chart" uri="{C3380CC4-5D6E-409C-BE32-E72D297353CC}">
                <c16:uniqueId val="{00000007-C5D3-4727-BA15-12BF234A5836}"/>
              </c:ext>
            </c:extLst>
          </c:dPt>
          <c:dLbls>
            <c:dLbl>
              <c:idx val="0"/>
              <c:layout>
                <c:manualLayout>
                  <c:x val="0.18727101941714649"/>
                  <c:y val="-0.1263327739770233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5D3-4727-BA15-12BF234A5836}"/>
                </c:ext>
              </c:extLst>
            </c:dLbl>
            <c:dLbl>
              <c:idx val="1"/>
              <c:layout>
                <c:manualLayout>
                  <c:x val="0.15627886630450263"/>
                  <c:y val="0.2064483742810837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5D3-4727-BA15-12BF234A5836}"/>
                </c:ext>
              </c:extLst>
            </c:dLbl>
            <c:dLbl>
              <c:idx val="2"/>
              <c:layout>
                <c:manualLayout>
                  <c:x val="-0.19045012784254681"/>
                  <c:y val="0.1398240178994017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5D3-4727-BA15-12BF234A5836}"/>
                </c:ext>
              </c:extLst>
            </c:dLbl>
            <c:dLbl>
              <c:idx val="3"/>
              <c:layout>
                <c:manualLayout>
                  <c:x val="-0.19900710085657897"/>
                  <c:y val="-0.1263327739770234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5D3-4727-BA15-12BF234A58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Sheet1!$K$4:$K$8</c:f>
              <c:strCache>
                <c:ptCount val="4"/>
                <c:pt idx="0">
                  <c:v>Card</c:v>
                </c:pt>
                <c:pt idx="1">
                  <c:v>Cash</c:v>
                </c:pt>
                <c:pt idx="2">
                  <c:v>Net Banking</c:v>
                </c:pt>
                <c:pt idx="3">
                  <c:v>UPI</c:v>
                </c:pt>
              </c:strCache>
            </c:strRef>
          </c:cat>
          <c:val>
            <c:numRef>
              <c:f>Sheet1!$L$4:$L$8</c:f>
              <c:numCache>
                <c:formatCode>0.0,,"M"</c:formatCode>
                <c:ptCount val="4"/>
                <c:pt idx="0">
                  <c:v>100920</c:v>
                </c:pt>
                <c:pt idx="1">
                  <c:v>261972</c:v>
                </c:pt>
                <c:pt idx="2">
                  <c:v>21498</c:v>
                </c:pt>
                <c:pt idx="3">
                  <c:v>1508</c:v>
                </c:pt>
              </c:numCache>
            </c:numRef>
          </c:val>
          <c:extLst>
            <c:ext xmlns:c16="http://schemas.microsoft.com/office/drawing/2014/chart" uri="{C3380CC4-5D6E-409C-BE32-E72D297353CC}">
              <c16:uniqueId val="{00000008-C5D3-4727-BA15-12BF234A5836}"/>
            </c:ext>
          </c:extLst>
        </c:ser>
        <c:dLbls>
          <c:showLegendKey val="0"/>
          <c:showVal val="1"/>
          <c:showCatName val="0"/>
          <c:showSerName val="0"/>
          <c:showPercent val="0"/>
          <c:showBubbleSize val="0"/>
          <c:showLeaderLines val="1"/>
        </c:dLbls>
        <c:firstSliceAng val="0"/>
        <c:holeSize val="75"/>
      </c:doughnutChart>
      <c:spPr>
        <a:noFill/>
        <a:ln>
          <a:noFill/>
        </a:ln>
        <a:effectLst>
          <a:outerShdw blurRad="76200" dir="18900000" sy="23000" kx="-1200000" algn="bl" rotWithShape="0">
            <a:prstClr val="black">
              <a:alpha val="2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.xlsx]Sheet1!PivotTable5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E8FFF0"/>
              </a:gs>
              <a:gs pos="100000">
                <a:schemeClr val="bg1"/>
              </a:gs>
              <a:gs pos="33000">
                <a:schemeClr val="tx2">
                  <a:lumMod val="25000"/>
                  <a:lumOff val="75000"/>
                </a:schemeClr>
              </a:gs>
              <a:gs pos="16000">
                <a:schemeClr val="bg1"/>
              </a:gs>
            </a:gsLst>
            <a:lin ang="0" scaled="1"/>
            <a:tileRect/>
          </a:gradFill>
          <a:ln>
            <a:noFill/>
          </a:ln>
          <a:effectLst/>
          <a:scene3d>
            <a:camera prst="orthographicFront"/>
            <a:lightRig rig="threePt" dir="t"/>
          </a:scene3d>
        </c:spPr>
      </c:pivotFmt>
      <c:pivotFmt>
        <c:idx val="4"/>
        <c:spPr>
          <a:gradFill flip="none" rotWithShape="1">
            <a:gsLst>
              <a:gs pos="0">
                <a:srgbClr val="E8FFF0"/>
              </a:gs>
              <a:gs pos="100000">
                <a:srgbClr val="002060"/>
              </a:gs>
              <a:gs pos="55950">
                <a:srgbClr val="8FC7EB"/>
              </a:gs>
              <a:gs pos="33000">
                <a:schemeClr val="tx2">
                  <a:lumMod val="25000"/>
                  <a:lumOff val="75000"/>
                </a:schemeClr>
              </a:gs>
              <a:gs pos="16000">
                <a:schemeClr val="bg1"/>
              </a:gs>
              <a:gs pos="100000">
                <a:schemeClr val="accent1">
                  <a:lumMod val="30000"/>
                  <a:lumOff val="70000"/>
                </a:schemeClr>
              </a:gs>
            </a:gsLst>
            <a:lin ang="10800000" scaled="1"/>
            <a:tileRect/>
          </a:gradFill>
          <a:ln>
            <a:noFill/>
          </a:ln>
          <a:effectLst/>
          <a:scene3d>
            <a:camera prst="orthographicFront"/>
            <a:lightRig rig="threePt" dir="t"/>
          </a:scene3d>
        </c:spPr>
      </c:pivotFmt>
      <c:pivotFmt>
        <c:idx val="5"/>
        <c:spPr>
          <a:gradFill flip="none" rotWithShape="1">
            <a:gsLst>
              <a:gs pos="36000">
                <a:srgbClr val="E8FFF0"/>
              </a:gs>
              <a:gs pos="100000">
                <a:srgbClr val="F4B183"/>
              </a:gs>
              <a:gs pos="100000">
                <a:schemeClr val="tx2">
                  <a:lumMod val="25000"/>
                  <a:lumOff val="75000"/>
                </a:schemeClr>
              </a:gs>
              <a:gs pos="16000">
                <a:schemeClr val="bg1"/>
              </a:gs>
              <a:gs pos="71320">
                <a:srgbClr val="CDC4B7"/>
              </a:gs>
              <a:gs pos="40000">
                <a:schemeClr val="accent1">
                  <a:lumMod val="30000"/>
                  <a:lumOff val="70000"/>
                </a:schemeClr>
              </a:gs>
            </a:gsLst>
            <a:lin ang="10800000" scaled="1"/>
            <a:tileRect/>
          </a:gradFill>
          <a:ln>
            <a:noFill/>
          </a:ln>
          <a:effectLst/>
          <a:scene3d>
            <a:camera prst="orthographicFront"/>
            <a:lightRig rig="threePt" dir="t"/>
          </a:scene3d>
        </c:spPr>
      </c:pivotFmt>
      <c:pivotFmt>
        <c:idx val="6"/>
        <c:spPr>
          <a:gradFill flip="none" rotWithShape="1">
            <a:gsLst>
              <a:gs pos="65729">
                <a:srgbClr val="00B050"/>
              </a:gs>
              <a:gs pos="0">
                <a:srgbClr val="E8FFF0"/>
              </a:gs>
              <a:gs pos="16000">
                <a:schemeClr val="bg1"/>
              </a:gs>
              <a:gs pos="100000">
                <a:schemeClr val="accent1">
                  <a:lumMod val="30000"/>
                  <a:lumOff val="70000"/>
                </a:schemeClr>
              </a:gs>
            </a:gsLst>
            <a:lin ang="10800000" scaled="1"/>
            <a:tileRect/>
          </a:gradFill>
          <a:ln>
            <a:noFill/>
          </a:ln>
          <a:effectLst/>
          <a:scene3d>
            <a:camera prst="orthographicFront"/>
            <a:lightRig rig="threePt" dir="t"/>
          </a:scene3d>
        </c:spPr>
      </c:pivotFmt>
      <c:pivotFmt>
        <c:idx val="7"/>
        <c:spPr>
          <a:gradFill flip="none" rotWithShape="1">
            <a:gsLst>
              <a:gs pos="0">
                <a:srgbClr val="E8FFF0"/>
              </a:gs>
              <a:gs pos="100000">
                <a:srgbClr val="C00000"/>
              </a:gs>
              <a:gs pos="35000">
                <a:schemeClr val="tx2">
                  <a:lumMod val="25000"/>
                  <a:lumOff val="75000"/>
                </a:schemeClr>
              </a:gs>
              <a:gs pos="16000">
                <a:schemeClr val="bg1"/>
              </a:gs>
              <a:gs pos="78000">
                <a:schemeClr val="accent1">
                  <a:lumMod val="30000"/>
                  <a:lumOff val="70000"/>
                </a:schemeClr>
              </a:gs>
            </a:gsLst>
            <a:lin ang="10800000" scaled="1"/>
            <a:tileRect/>
          </a:gradFill>
          <a:ln>
            <a:noFill/>
          </a:ln>
          <a:effectLst/>
          <a:scene3d>
            <a:camera prst="orthographicFront"/>
            <a:lightRig rig="threePt" dir="t"/>
          </a:scene3d>
        </c:spPr>
      </c:pivotFmt>
    </c:pivotFmts>
    <c:plotArea>
      <c:layout>
        <c:manualLayout>
          <c:layoutTarget val="inner"/>
          <c:xMode val="edge"/>
          <c:yMode val="edge"/>
          <c:x val="0.22184673949654599"/>
          <c:y val="0.15758530183727035"/>
          <c:w val="0.65902969899032893"/>
          <c:h val="0.76923076923076927"/>
        </c:manualLayout>
      </c:layout>
      <c:barChart>
        <c:barDir val="bar"/>
        <c:grouping val="clustered"/>
        <c:varyColors val="0"/>
        <c:ser>
          <c:idx val="0"/>
          <c:order val="0"/>
          <c:tx>
            <c:strRef>
              <c:f>Sheet1!$I$12</c:f>
              <c:strCache>
                <c:ptCount val="1"/>
                <c:pt idx="0">
                  <c:v>Total</c:v>
                </c:pt>
              </c:strCache>
            </c:strRef>
          </c:tx>
          <c:spPr>
            <a:solidFill>
              <a:schemeClr val="accent1"/>
            </a:solidFill>
            <a:ln>
              <a:noFill/>
            </a:ln>
            <a:effectLst/>
            <a:scene3d>
              <a:camera prst="orthographicFront"/>
              <a:lightRig rig="threePt" dir="t"/>
            </a:scene3d>
          </c:spPr>
          <c:invertIfNegative val="0"/>
          <c:dPt>
            <c:idx val="0"/>
            <c:invertIfNegative val="0"/>
            <c:bubble3D val="0"/>
            <c:extLst>
              <c:ext xmlns:c16="http://schemas.microsoft.com/office/drawing/2014/chart" uri="{C3380CC4-5D6E-409C-BE32-E72D297353CC}">
                <c16:uniqueId val="{00000005-12DE-479F-B561-60E76194CDBF}"/>
              </c:ext>
            </c:extLst>
          </c:dPt>
          <c:dPt>
            <c:idx val="1"/>
            <c:invertIfNegative val="0"/>
            <c:bubble3D val="0"/>
            <c:extLst>
              <c:ext xmlns:c16="http://schemas.microsoft.com/office/drawing/2014/chart" uri="{C3380CC4-5D6E-409C-BE32-E72D297353CC}">
                <c16:uniqueId val="{00000004-12DE-479F-B561-60E76194CDBF}"/>
              </c:ext>
            </c:extLst>
          </c:dPt>
          <c:dPt>
            <c:idx val="2"/>
            <c:invertIfNegative val="0"/>
            <c:bubble3D val="0"/>
            <c:extLst>
              <c:ext xmlns:c16="http://schemas.microsoft.com/office/drawing/2014/chart" uri="{C3380CC4-5D6E-409C-BE32-E72D297353CC}">
                <c16:uniqueId val="{00000003-12DE-479F-B561-60E76194CDBF}"/>
              </c:ext>
            </c:extLst>
          </c:dPt>
          <c:dPt>
            <c:idx val="3"/>
            <c:invertIfNegative val="0"/>
            <c:bubble3D val="0"/>
            <c:spPr>
              <a:gradFill flip="none" rotWithShape="1">
                <a:gsLst>
                  <a:gs pos="0">
                    <a:srgbClr val="E8FFF0"/>
                  </a:gs>
                  <a:gs pos="100000">
                    <a:schemeClr val="bg1"/>
                  </a:gs>
                  <a:gs pos="33000">
                    <a:schemeClr val="tx2">
                      <a:lumMod val="25000"/>
                      <a:lumOff val="75000"/>
                    </a:schemeClr>
                  </a:gs>
                  <a:gs pos="16000">
                    <a:schemeClr val="bg1"/>
                  </a:gs>
                </a:gsLst>
                <a:lin ang="0" scaled="1"/>
                <a:tileRect/>
              </a:gradFill>
              <a:ln>
                <a:noFill/>
              </a:ln>
              <a:effectLst/>
              <a:scene3d>
                <a:camera prst="orthographicFront"/>
                <a:lightRig rig="threePt" dir="t"/>
              </a:scene3d>
            </c:spPr>
            <c:extLst>
              <c:ext xmlns:c16="http://schemas.microsoft.com/office/drawing/2014/chart" uri="{C3380CC4-5D6E-409C-BE32-E72D297353CC}">
                <c16:uniqueId val="{00000001-12DE-479F-B561-60E76194CDBF}"/>
              </c:ext>
            </c:extLst>
          </c:dPt>
          <c:dPt>
            <c:idx val="4"/>
            <c:invertIfNegative val="0"/>
            <c:bubble3D val="0"/>
            <c:extLst>
              <c:ext xmlns:c16="http://schemas.microsoft.com/office/drawing/2014/chart" uri="{C3380CC4-5D6E-409C-BE32-E72D297353CC}">
                <c16:uniqueId val="{00000002-12DE-479F-B561-60E76194CD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Sheet1!$H$13:$H$18</c:f>
              <c:strCache>
                <c:ptCount val="5"/>
                <c:pt idx="0">
                  <c:v>Bedsheet</c:v>
                </c:pt>
                <c:pt idx="1">
                  <c:v>Face Wash</c:v>
                </c:pt>
                <c:pt idx="2">
                  <c:v>Lipstick</c:v>
                </c:pt>
                <c:pt idx="3">
                  <c:v>MacBook Air</c:v>
                </c:pt>
                <c:pt idx="4">
                  <c:v>T-Shirt</c:v>
                </c:pt>
              </c:strCache>
            </c:strRef>
          </c:cat>
          <c:val>
            <c:numRef>
              <c:f>Sheet1!$I$13:$I$18</c:f>
              <c:numCache>
                <c:formatCode>0.0,,"M"</c:formatCode>
                <c:ptCount val="5"/>
                <c:pt idx="0">
                  <c:v>57912</c:v>
                </c:pt>
                <c:pt idx="1">
                  <c:v>10212</c:v>
                </c:pt>
                <c:pt idx="2">
                  <c:v>10958</c:v>
                </c:pt>
                <c:pt idx="3">
                  <c:v>248592</c:v>
                </c:pt>
                <c:pt idx="4">
                  <c:v>35922</c:v>
                </c:pt>
              </c:numCache>
            </c:numRef>
          </c:val>
          <c:extLst>
            <c:ext xmlns:c16="http://schemas.microsoft.com/office/drawing/2014/chart" uri="{C3380CC4-5D6E-409C-BE32-E72D297353CC}">
              <c16:uniqueId val="{00000000-12DE-479F-B561-60E76194CDBF}"/>
            </c:ext>
          </c:extLst>
        </c:ser>
        <c:dLbls>
          <c:showLegendKey val="0"/>
          <c:showVal val="0"/>
          <c:showCatName val="0"/>
          <c:showSerName val="0"/>
          <c:showPercent val="0"/>
          <c:showBubbleSize val="0"/>
        </c:dLbls>
        <c:gapWidth val="45"/>
        <c:axId val="1074698815"/>
        <c:axId val="1074696415"/>
      </c:barChart>
      <c:catAx>
        <c:axId val="107469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74696415"/>
        <c:crosses val="autoZero"/>
        <c:auto val="1"/>
        <c:lblAlgn val="ctr"/>
        <c:lblOffset val="100"/>
        <c:noMultiLvlLbl val="0"/>
      </c:catAx>
      <c:valAx>
        <c:axId val="1074696415"/>
        <c:scaling>
          <c:orientation val="minMax"/>
        </c:scaling>
        <c:delete val="1"/>
        <c:axPos val="b"/>
        <c:numFmt formatCode="0.0,,&quot;M&quot;" sourceLinked="1"/>
        <c:majorTickMark val="none"/>
        <c:minorTickMark val="none"/>
        <c:tickLblPos val="nextTo"/>
        <c:crossAx val="107469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675142823115873"/>
          <c:y val="4.0615545771901544E-3"/>
          <c:w val="0.74723971547253432"/>
          <c:h val="0.51122241881134256"/>
        </c:manualLayout>
      </c:layout>
      <c:barChart>
        <c:barDir val="col"/>
        <c:grouping val="clustered"/>
        <c:varyColors val="0"/>
        <c:ser>
          <c:idx val="0"/>
          <c:order val="0"/>
          <c:tx>
            <c:strRef>
              <c:f>Sheet1!$X$13</c:f>
              <c:strCache>
                <c:ptCount val="1"/>
                <c:pt idx="0">
                  <c:v>sales($)</c:v>
                </c:pt>
              </c:strCache>
            </c:strRef>
          </c:tx>
          <c:spPr>
            <a:gradFill>
              <a:gsLst>
                <a:gs pos="39000">
                  <a:srgbClr val="00B050"/>
                </a:gs>
                <a:gs pos="81000">
                  <a:srgbClr val="8FC7EB"/>
                </a:gs>
                <a:gs pos="33000">
                  <a:schemeClr val="tx2">
                    <a:lumMod val="25000"/>
                    <a:lumOff val="75000"/>
                  </a:schemeClr>
                </a:gs>
                <a:gs pos="0">
                  <a:schemeClr val="accent6">
                    <a:lumMod val="40000"/>
                    <a:lumOff val="60000"/>
                  </a:schemeClr>
                </a:gs>
                <a:gs pos="31000">
                  <a:schemeClr val="accent6">
                    <a:lumMod val="40000"/>
                    <a:lumOff val="60000"/>
                  </a:schemeClr>
                </a:gs>
                <a:gs pos="84000">
                  <a:srgbClr val="FFF0F3"/>
                </a:gs>
              </a:gsLst>
              <a:lin ang="5400000" scaled="1"/>
            </a:gradFill>
            <a:ln>
              <a:noFill/>
            </a:ln>
            <a:effectLst/>
          </c:spPr>
          <c:invertIfNegative val="0"/>
          <c:cat>
            <c:strRef>
              <c:extLst>
                <c:ext xmlns:c15="http://schemas.microsoft.com/office/drawing/2012/chart" uri="{02D57815-91ED-43cb-92C2-25804820EDAC}">
                  <c15:fullRef>
                    <c15:sqref>Sheet1!$T$14:$W$21</c15:sqref>
                  </c15:fullRef>
                  <c15:levelRef>
                    <c15:sqref>Sheet1!$T$14:$T$21</c15:sqref>
                  </c15:levelRef>
                </c:ext>
              </c:extLst>
              <c:f>Sheet1!$T$14:$T$21</c:f>
              <c:strCache>
                <c:ptCount val="8"/>
                <c:pt idx="0">
                  <c:v>ORD10013</c:v>
                </c:pt>
                <c:pt idx="1">
                  <c:v>ORD10109</c:v>
                </c:pt>
                <c:pt idx="2">
                  <c:v>ORD10165</c:v>
                </c:pt>
                <c:pt idx="3">
                  <c:v>ORD10170</c:v>
                </c:pt>
                <c:pt idx="4">
                  <c:v>ORD10364</c:v>
                </c:pt>
                <c:pt idx="5">
                  <c:v>ORD10366</c:v>
                </c:pt>
                <c:pt idx="6">
                  <c:v>ORD10381</c:v>
                </c:pt>
                <c:pt idx="7">
                  <c:v>ORD10409</c:v>
                </c:pt>
              </c:strCache>
            </c:strRef>
          </c:cat>
          <c:val>
            <c:numRef>
              <c:f>Sheet1!$X$14:$X$21</c:f>
              <c:numCache>
                <c:formatCode>_("$"* #,##0_);_("$"* \(#,##0\);_("$"* "-"??_);_(@_)</c:formatCode>
                <c:ptCount val="8"/>
                <c:pt idx="0">
                  <c:v>9792</c:v>
                </c:pt>
                <c:pt idx="1">
                  <c:v>1836</c:v>
                </c:pt>
                <c:pt idx="2">
                  <c:v>5538</c:v>
                </c:pt>
                <c:pt idx="3">
                  <c:v>8748</c:v>
                </c:pt>
                <c:pt idx="4">
                  <c:v>1508</c:v>
                </c:pt>
                <c:pt idx="5">
                  <c:v>10212</c:v>
                </c:pt>
                <c:pt idx="6">
                  <c:v>248592</c:v>
                </c:pt>
                <c:pt idx="7">
                  <c:v>44532</c:v>
                </c:pt>
              </c:numCache>
            </c:numRef>
          </c:val>
          <c:extLst>
            <c:ext xmlns:c16="http://schemas.microsoft.com/office/drawing/2014/chart" uri="{C3380CC4-5D6E-409C-BE32-E72D297353CC}">
              <c16:uniqueId val="{00000000-DD91-4DF1-A0EE-896CFB537A40}"/>
            </c:ext>
          </c:extLst>
        </c:ser>
        <c:dLbls>
          <c:showLegendKey val="0"/>
          <c:showVal val="0"/>
          <c:showCatName val="0"/>
          <c:showSerName val="0"/>
          <c:showPercent val="0"/>
          <c:showBubbleSize val="0"/>
        </c:dLbls>
        <c:gapWidth val="219"/>
        <c:overlap val="-27"/>
        <c:axId val="679296271"/>
        <c:axId val="679307311"/>
      </c:barChart>
      <c:catAx>
        <c:axId val="679296271"/>
        <c:scaling>
          <c:orientation val="minMax"/>
        </c:scaling>
        <c:delete val="1"/>
        <c:axPos val="b"/>
        <c:numFmt formatCode="General" sourceLinked="1"/>
        <c:majorTickMark val="none"/>
        <c:minorTickMark val="none"/>
        <c:tickLblPos val="nextTo"/>
        <c:crossAx val="679307311"/>
        <c:crosses val="autoZero"/>
        <c:auto val="1"/>
        <c:lblAlgn val="ctr"/>
        <c:lblOffset val="100"/>
        <c:noMultiLvlLbl val="0"/>
      </c:catAx>
      <c:valAx>
        <c:axId val="679307311"/>
        <c:scaling>
          <c:orientation val="minMax"/>
        </c:scaling>
        <c:delete val="1"/>
        <c:axPos val="l"/>
        <c:numFmt formatCode="_(&quot;$&quot;* #,##0_);_(&quot;$&quot;* \(#,##0\);_(&quot;$&quot;* &quot;-&quot;??_);_(@_)" sourceLinked="1"/>
        <c:majorTickMark val="none"/>
        <c:minorTickMark val="none"/>
        <c:tickLblPos val="nextTo"/>
        <c:crossAx val="6792962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00000000-A823-4624-A333-56B18643A674}">
          <cx:spPr>
            <a:gradFill>
              <a:gsLst>
                <a:gs pos="11000">
                  <a:srgbClr val="00B0F0"/>
                </a:gs>
                <a:gs pos="71000">
                  <a:schemeClr val="accent1">
                    <a:lumMod val="45000"/>
                    <a:lumOff val="55000"/>
                  </a:schemeClr>
                </a:gs>
                <a:gs pos="87000">
                  <a:srgbClr val="E8FFF0"/>
                </a:gs>
                <a:gs pos="89000">
                  <a:schemeClr val="accent1">
                    <a:lumMod val="30000"/>
                    <a:lumOff val="70000"/>
                  </a:schemeClr>
                </a:gs>
              </a:gsLst>
              <a:lin ang="5400000" scaled="1"/>
            </a:gradFill>
          </cx:spPr>
          <cx:dataId val="0"/>
          <cx:layoutPr>
            <cx:geography cultureLanguage="en-US" cultureRegion="IN" attribution="Powered by Bing">
              <cx:geoCache provider="{E9337A44-BEBE-4D9F-B70C-5C5E7DAFC167}">
                <cx:binary>7Htnj93IkuVfaejzUp2OaR6mB5gkrylvVDKtL4lSmSSZ9Mkkmfz1EyWp+0ndemZ2H3ZngSkUoHuL
Jk1ERpxzIvRvD+tfHuqn+/Gntalb/5eH9ZdXxTT1f/n5Z/9QPDX3/nVTPoyd756n1w9d83P3/Fw+
PP38ON4vZWt/Jgiznx+K+3F6Wl/9+7/B2+xTd9493E9l196EpzHePvlQT/7vXPvhpZ/uH5uyzUs/
jeXDhH95dXfflPVPl/eP4dVPT+1UTvEu9k+/vPruvlc//fzHt/1p5J9qmNwUHuFZjF8jzDFCUr76
qe5a+/XvQr5mSCCCUvHbYJf3DTzwz03i8xTuHx/HJ+9hHZ///f7Z7yYNly5f/fTQhXZ62S4LO/fL
q5P2sbx/9VPpu+zLhax7mfEJ3AlL/Pn7jf7TH2DRf7jlG1v8cYf+0aU/meLiHgx+74tphBn+y2yh
XrOUIElThT7/4O9Nwl9jJBUlTH35SX8b+otl/sk5/dg03z38B9tcHP+/sk3+VBflb1vzf35CiHzN
GaUKcf5Dq4jXGKdMyBR/sQr/begvVvmHs/mxPb4+9gdL5Of/rS3x4wP87fH47o7/Yqgi5DVNiWSM
sO/PhXpNOaWMkK/H5g8W+BpH/vY0fmyBr499N+P/3kHp7uruP8BBvl3od/7zo7j5jyLfl9z1w3j5
p6B4GO/bx5/uuum+/n84i7P7sb2f7t2/MjCz1wIj8DtGfhgCIDBzoXAKUeLzD/1t+V9CwD81ox87
4TePfmfKX16d/cd/61Dw3WxfsMtTfd/a+/ZfaRXxWiLEU4X/AF3Ua4SUZCr9mijh8pcz8RXB/DNT
+bE5vlnFdwuE9R3+75rjb2Ob39FeDqdg9xkmfnPI//7V3875Hx79eyHly86ePAKU5AQDWPwdfr68
5LuN/8aZ//TU072ffnkFqDNNCZdIcUWoJBIQ0PL0+Qp7jRRLUUoBq6YyVZAD2m6cChgXoCokX4SY
hAkIQeGS78LnS/h1KggkZrjC4AOXvyP0666Otmt/34+v339qQ3Pdle3kf3mlXv3Uf7nrZXmC8VRK
QVJOuYI3Ufly/eH+FkgA3Iz/F/dp0otJTbvUp8fYxitu3DOW7X6eXJ6Y6Wbu3PPAplF/s0s/GFcK
WMH3I3OJCU6xBHdPYS3k+5FtkdKNb3XYcaPGJ8ME0oExNuolnbE9IWhjlS5hBVSLMtluV9+v9Uk9
F9tliX3/zFIV18zFsHLdOik/dDJ2ZxVhpNNDGVmTW5uqSiMf5TWrh9XrgOZiT1NDsmKk3WHjszhN
7MT31qt+0200vYYdRnrl49Via55Djn6okG3z4OS+UhRnU1LMWgztbWyaRk8W7XhC0NlUrEizdaxu
6Yr5rNd1ppe4S/B1bbG7FD4ZhQ5rtVxSWd1ZJWE8E1d/WClvbmLa7VxfnVe08heuh61Y1Ya3zKwo
rrp0JTy8xNJlTTfMD5Qn7O0k/OozH7C9KoUaz9O2STNcRqMJL0OjexJFRqa00rSu7LtyweqWp/O6
M1vR57buDngh4SZ2A8tNNxUfJmSpzdzIkn3cHO0yOifyakn89GxWolbddmq0ma0m9Tj1iye7uPBE
21GhtyvaPHwk4GO56Wlx67vB1Lpl0bVZTWw16sbF5SCRLM4IRcvZkibtOWH1mNEk5Zdr2bArVG5l
sSMuptdD4kTGmUfnpV9DFvq1vV7tYkO22WJq9TaI6ZSLplW670176FhYz+dKTvsiMW1WjZXaV+W0
nbXr3L8dWilCNvQ+sbmgafeOrInPyZTIRAu39MkhyFl115bQrtIFc80AfhAmk8/t0GTM92rScxfY
EeB02WddgbZ3TU2QG7URdpoyEvG06r6W8QruWwZNlhY/pYlI0c6Gud3N6aSuC754nKE5sWkWRl5l
KU6mk+BnxrVsu2o+2Bl1TntE6IEVYu3zzvbpuzTOYtttVeQm53NrtFknKTUffVXpTvTxxDReeG27
tL8IoZg+Di0BR3ID+mBRVzyZSfQPsDPlrXetuhIubZ0eYh3bXclC8YG1TVnoMpR2T6qWMs0Rnq85
CTDKRgp8pMapKYu1YB+XnvlTvlV8zQyba6PLuSravKA47ki5kn3l6/iGdBu9bbF0Q75gMm151Qyo
0Zua14ehEdzqyi79zWyw+uhlV7wfS9i9HZNjd6Hq2uFcKsvfzROOWoSA112g5XrfdJN/u1hVE03a
kd8PZTW0uheJyzEeeZrxuhpRNuABPyW+xG+KqW/ezWllbvhKxYc21GTWBa1NkpOFojtrKhU0w7Pr
d6FNmzcdH9jOx8AXbQfbN9pU3Pnc09DQfVnIqYJ9rxOc81UQbQvOt12BiDzgYg5jVtgN63mS6BjF
Ns+HwhXj7bjMw6qVRfXZ5tyKdRcNRBEnGrvopl6Sq9hH32TYSfeuiokqNUJdhTLeiu4BobFFOU9p
c9yGpPcaJ5WIEAmJOAltCevhoengxFeyuk6aurgmk0hDNqpUuGxr8XJTdpK+A5Omuut5wzWXPd8Z
xsc3NtAiZz1bdilNm5sal9Vu6z3nuufr8IF6iOkQzFD8dUGMf4RgDhaVfZsU2gvcphmTTaKyYbaV
03btp14nslk3DYd8otm0wkyTfjoNlsdWwwxVkuG5hbAwG5N2uUu2+XKZ+PKuRmO1ZRurK6/NrEh/
RESRX8vJz2lmQ5r2O4STluVLRNVFpUi4TlLZv5VxTZvMm1nInVla9mFptv5xsNtY500RIKSXSCVD
NpHRbllfF1uqrRyjPcEmIUILSt1l0zaouO6QXYod44qedjO3xcHXdFKnMQne6hgwnK6xa0qes6FK
7hczriaL1ox+15LW7H3r+1IvXrA9o0NV50u/2U4b2iYsA8cZ53zo3Go165LGZd2CVD6YLqaax9TD
LThNC72OMpyPvm/gEbmdqmrus55IcwGeNH4Uc4IvEjeKd6Eam9O5md3ZViEIxMjz+siLCBnUtSG+
bySGoGdluVyyycl21ziI1Fvr+KijK4ZBU5AAHruW8zerI1SXDPFGLz1yPRw5MT7HMBc3I6d9kZVt
Ne1mpJZL2Sx4DwudM2q75n3b2fHUOtmVWSUg7VheW6d5u501pEVZIoI/E3D0dhRmfr9N1WVYCqOD
QGnUG8CvT9ak9SUzwS+7sJiuyBwtRZmRPhXoaGxEi3ZBmntkoxh04JOL5x2PNdaSz8V7RFcEhpZ1
WWVyXWXIegxrW00RP9CN8jsIv/31OhJ+sGiNv3aQn885sWuZyZrUvzZhVVRjvwmuLeKbzeZKlCgj
AQ9K++g2OIYJGj8uIZ2umUjmS7Maco2ET59oXJJMmnJ7m8JBelA8MSybEC/3a1cfCCtjn8luMqUe
62l83MrZ9lk6eJFmSiWpfTEauSnZEN50HQ4nARFXnw/zLH5NQ1E8b840RYaLYS40rp2EjauKbSz1
tK6EnWwrm4ess0Z+iLjn95BdyhuOcbFC2OobvGoSxq3Ou6lPJqQH78QVMpDyMzZvbD2pRZtWWUJH
lvsxpPlKaw+HIDq9+qS6H4gyl93cvZ+bscjb0ax5UeEuKxsfiz0Ag2HLwpSI+SwWjL/hGy2WbIhp
zbPGsGrfF2vS5w3sBG5MHHehT2ilGyIfBjLRs7bgMtWrwHbMTKf8cUgSfh4Y/nXgZnjrVso+SUdU
fRQI3GyniC8HjQmABM2CmJ4lT6pBD0HMYcfKVN4iyq3Zh5nGqKWzxufFGio4nTQQq5eFjuA0cxPw
DsnKFVqGNenOwszY+2UawKMa3LYAhGoGSR9B2htr5FstNwnpEhI8fh6dMR3E6dp+KMd23rIksPWK
l6UnOYrNvCvKaBstCoHpuVubeFoOZfLJlGOQukxZ6bQbJcr61E0f6TD7qOtQJh9twjueUR+r+3Wh
EAUUabpF4y3Bb1rZM3a0cw/YhOFtebu4BUEyTjz1J9EAgdfgAovJXFVFexEporeorTe5rxe+1Lrc
6mHMAm2Hk4kT8dgYMmYrM5lUrs7HoVcZnTDfpzMr3i8rkTpNNkBsoymwdo3v9IzimBGzyjlTrdkq
PeHkIWLb/4rSrJ3SNltYQnSlNqntJJs9K5OovSmpDlsPg/WWXIVKWggPaZE3dEY6SWPelGt7tCpd
Kx0ryW6qPkl2S9PKPfFjvRPKMEi5s7mOJk07CEpy28uxeVAbwe/BE+nzUvpqN84lhRPWCXUtwjie
V8W6JPDGWtxuOJbdDk2qeJNE3FyQsMD+waF4t7IFwlVN6dYepK/ie8Okv/PAzlBebuka88CtxxrH
PjwrQIMPrJhbrjvpiybrqEE+a4DdPFPp5zHbkqK4Y33sIMV6wi4WT6MuSVJUmSXghdqVS1vkOMTl
uUzEmvfb0LxZNggqum9NH/KkiaLUprUFgMppWskxMLrKPLo1njJwRAC9dTMDD4BMi1xRdDplkRaQ
xtqhvmwAzTe526oZnaRjPe4s5uWb3g3JbRc3u9sEtXprxCYzNIxitxC5ZJ2qaKLTISxI1y1PTl1t
Zsj3sWwWcGKu7jozb1RTEwEJQqKsh9yOc83yDg810nbjRaLLfgCElLAIWytY9xZPTbPvS+T4Lrge
na3bWsy7ybfKZzb19fsYpPKnTRKKJyfsWOhBGEBFbdIARMQc2UnbhXTvUKD13eKRfCSN7Y5LjGt/
Eko4oy0w405bOlb3Fess2gONTa+W6CLWNGlrpYlF+EzZGeChalUcYZelpPm8GAbBgWGyQhruhptR
LtWcTQ24oR7LDQB2SIDmeDaiayLKAZ/VcpzmfRwZuhPtSPWS1E/tVq9Cu1UWVo9YGK7nJqnsMeUW
n/JxSS+7aQYIWUyLkqdlI9GpGYGmQ1hO3clUpeO1p7Z3mjm2gB1ToHnz2leHkjB0skib9lnSVY9c
eDRqKkp8Biw5veFVe4blhvQydCcNIdvlWri3xcabfALytevocmg9qw9ll0w5wZbohfArDwfgqkyM
3EU+9ZmoGQLeAPBj7GZf6CgmtwtxA2KxlVVehDrodV7Q3tGxPLQDbm8WNjXXTRy7fMKAGmmj42hg
mMjq867F5S6JwEVEXAFcrBW/oir1+7arjwESW1YBvrTeLdctH9E71DbEQ4CtVN6M/n1r5pBNJeG3
M5dyp/oq7tN2vRJFsi45SQM/dmxVJ0YYZgCfEDtDhFIoV2YozzB2i+7GUm47NNbtZSE7dbrN48Ky
ziiTbRC8n6QXh0Ei/9zHwl3beZ70NLfq1y6Z5akoCP1ABm4fJSTQTMAGhbHu4BYW0KD70hTpDt7o
kuuNUyGylfYrIN7C93fNOKEjGYzs9aIivqNNkZzVpg16Vkl/FLyY3/ZicB9NQNuSERST5zmI1n+k
DmgQAIByJvvWSLQdxsotEiIpWfOpZBadlKGvHxM8jecRF4As50JBAqtWjAAN9NEt+3oGNOkqqW4U
ZrLaYzmEfUiXGTgO6qnKQok7AzQTkELuXnJmL/sy1bSXEKjkQheXA0byp/3nsDPB1H6dONvmfA2l
Qfm6JuAUMyJbekwboAn7rqLtmpHOM5f1ItCgaYv5x0ks+KlPS2JyRpSLufRSnahZrerYDIu3GW0L
ANELrfmTtLTOS1Byzvzil8tYrZvIECoAmAZc8YexYVOnmR3KG5AFuuMUKL1lE5qbnZUIQqKRfMmt
2WzM+t53XpeNiOmhLA2Q86puZ6L5TNB5GPv+WE8zoKdJFmPcd8k6PUxxkxNIn38tyH7Vs77oag9d
H8cSVIY/fP33u66B388V2t/v+Sw+/vXbxW9F97971+Gpe1F1/R9vetFHf38XjP5VL33RJL/78ieB
9G9IoN/XQf739FGEkSDq70qkd0Ddw19ryp9l1d8f+6KRKiiDUQLIFArFoHJTAWXgLxqpwq9xihRh
XMJ1gV9K+l81UsJAWOWglXN4RHJK4NJXjRTKagoqZ0ymILgiUNT/Sxop4yDRfqtVAqulUC+FF3IO
WqlCL9e/UUn71iVJZDgcGWSPLLiJ6GSRx2Zuao3V+kFyZSF+F3WWehcPWwd9FYS8r0CVbESNbs0g
h106LI9TLCFtTE3YTSuHnJ/gRK/T0L6BPAlECVg0AIzY5tuMX/J9dcN7kDYWMhfH1ieArmx/KXpH
tC9jsQO08aFT/bDnId52DD01fX2NY+vyGvJs1qqK6c0lj8zSS1qPRKddMnwsusHqlM/rcYoRhKeU
GhjVzh9LXx+TrTsf6+rlxCyN0A231zYxKi9JmuzQEK3GtGrPeyno2VSx7bRPen5etEaA/CUYwAZU
x3dG2TtUuvulGD84NNU1SCJxu0gES3fVupp86l60khCDBsE23DaxOrjRsfOe4/WEuDTsN+ApuR1U
AkIVLicF6C+ui65SHJ5xUJc+Wr7DIxU3jDOUqb7YFUBwDtGDGtAmQ3shqk5lyerNJzrY5MjZKE4L
T/p85AMB9q3EiRtxf4pqyz9NPH4cV1VktNmGrF9mnwHzgE8t7T8FrpILwwFZqaXnupyWKt/qlF1s
bgz7tOmeKjwth0QN4mqEtLZfLBCdUGGiMepk5oRgO1dAVljUMJ4OzUpupd8eQbosM1AEhqulDu4D
7eIHJoFtLy6W2qsK6QYUUDa4sOs7VuRbTFzm5vq5bKU7ik59VFPtQBKE27epBlK2YAE8vUGnneDg
ANLVR9SPxVkp6ruS8zsx+epUoqnQDTDgOw/aRe4EcTs/OHtRDba+XaZCZhh0hWxziu6WsvDZ1LO3
glZmJ2ySXoRqeA/+qp5W1E47lLTN5Ua6MW+motnNvb8zibkr4rrjHRBRkIbfVRtz+YxmdfAv6uKa
sF/rdkXHavK3oKqsOwcCpeYV9fsmdNM7ZOcWXFTezlHdbWt13dIEfBbOezYD1dR+boD1KBAkDuvq
rbmoKBnGQ7NN7KQ1ZRm0jWN/zfja73CaJHkxuvpKeVLvOmaXk6bE/Z6DD15ZkJdOjWXl0boCyBig
+LFU/rBNoKSiyhSgEoz0LAV19tZXTB4ICOtAXvw7bP36plGNPV2g+HPEk22zifG3GFXk4Mq5eVdX
rgTlRM67BRTcCRI1aMQqJObXsevnnXFkOAd5y55uoKQPIHoJBkpEOpI8mPGp68c2h2pPofm6qUve
sPXGrkLl/crcbl0CqGuegwgu6RUagetKk26aq6W8WXANoK6X4QpVWxN0wjfIeuoIgvig+SK6o0TV
5HS/4RvjpjUPSQkCV7F2+wmpPkPeiOxFAMvdtADp470sj6RI23rX1E2rY4J4rpYkvI9e8bfBBnEc
ZDTvayRMliBRAZlEAGaZKE4qMcSzQaTlWwVE4dx2A1R0inQjt/WGk0vVjNuhUXX1nrfkPSrGaQ/q
jrbetsfer9f9NJOnucfzbQlsNk9K70FcnLnQ5dptpxL4h1C+/1SmYXmaqW+uRE+XUxX5cpwmWWcM
IDfoULXb482+l6zuL5NRnpmkITloPlDBUcBqG5Q1EYoeMhnO1tkQOLklrfJmdSbv50KcsbqprpfN
9OcGT9VVgRTOOhTOAy/nAwCW4X2LQtCka8bLaYghK+KIcsBfZAdyCWxntVVvZwXTqJe43Zpiu1mh
ZpMT2eK8i0t50lfhBvJQchI6M+yhbGg/gdq4HXGd3Nl1QLsNoJfuSDtddU6muZRbmdNWhrwl5TlQ
EXc7WNbdpBUClQV0/RdmkmSpAJ0aiKTJI7BhAb6r8EmSJiGfkiHNTSmbAxrdeL4mgLqSZhDaNDXK
Z0EhCpfpE+hJba54jTOoTd80I38oiYyZqRaqmQJ9ZAWouXNztWQ0+G03BwPhxTggia15h1gHWfFl
DqRO6c6Wi8q6SZH3cobTXEPldAdITkGxoiBVRuaUee2oXT4lNjSVrtplvCO9fE59ddEsAaIvPsql
wDuotF7NUNAEpuJokleyWG7JUoT9LB1w2qS6FSvuLwTi1bteSb4bSLrs1Fa8a1p+SJOlzjnkhBbU
PfXrBqXI/aD6x24Fh+K+vpsHqEBVa1zytkaX27xdNGqIGWS76i10N5KTkIDuPb5YWrpo9nQGriUb
CD2Tah9bsn0Kovs4C2JgU0EZ29VEFDvhQcRJXVuersZel8UwXkgQnYHJggyIOc2imWXWAYLNZfBM
j1vbalYJevSzG++gQjflm7fDgU9Tc6Rrd48SiEK8cbkhZsen9FNsyXFh6WMD5YzMTLjNSpo+/g/c
/dvNp38t7AsFEiJB35S6/9QQcOh+bwf5XGH/7YmvzQDsNVE8RdBepzj013Cot39tBqCveQoNXwID
wyeU0b8CXZy+lhiqDgq/QO2XvrDfgS5mryU0DkD/AGUYXgfw+Dew/x1pgfbdr9+/bQaAprJvYS40
AwAu59COplIOAuUfYS4Ry9ym9bLsKgt1i3Uptr2pJpJBBHiJDNV6+s3O/GA8QPU/GA8GTFMG7REv
m/EtrK4t9Y7XaNltzFd6Y/Z53nrQApdk/QftBoSCkf44ViqRAFrAaAplV9jeb8cKPCWUFsWyIxi5
zDZQT8oGW+CTipD+whk7X4SNVoeaTJB2h1E98rqbr327upNGMZBuoCaNT1GEcjEUJID/aqfs+B7q
VWLRpeTpJX8Rf0DC95/isqUm85+FoeqzSNR8FowW2j0lJlAowDl813wWlkDcAZFpetGbypoAU/Yv
KtRUCfY08aLb+c8ClfR1eAa5uniyvDS5awXNO1Nv12ogkE8h49jDMIcqc2Gabyq+JWcDUmg+Diy4
VrtCgUYVhDHvJWgNpSbFsEEKtTVoEFZGwXRiE3HoNzp2UJKsoGAW1GJXDUIYKG1QvRmfmyoZT4Xn
J8KCP+A5kF0i2vM28rs2LV2fu4qa080m2xnQBSjYr/X5WpBpxwyaM1v2H5IG9FCJyA0wh/bQpuI8
rmHUpSKgAfbjkFGVgNpR1EUGyXTODOJe11jVRZ5w2UInROp2OFndaRL9h1IFSHSAhvI4lJ3mAgjS
OovLqa2qfe1VVhSuzyheobslUbvZtPHgLLnBUEDxJLmNw5ynGOrmQDqKgxQpy+tGnZABz5nrKQw/
jtA/gu1zW5VKp6GCDwASBVq6o68nlc1QQdFd4aE8y2BwwhvImxLdLAHoW+hGODrQQGaJu2ha63LC
7afFgKtjX8uctcmhXNBN58Zcvuyoo4XKDSveTLiyGVrJYxrMOXbiZOiqOqsxJOp+hTrCAlUk4umN
oW7NugY/VrzZU4eGrAnTgaLqGRHuds6MH1L4Mht5SWn17FR53kz2FHRHDDTCDKAoDW/syA+AZ7WM
81lh3GGiyXlRj+WuV3GGkpokmx7MMFjoTmELyitm/NUwpZdl0n1o56rPFspWTZf6DKn1iYe+yt06
8r1rwHjjKl8q36oFBriolyK+06DIQbVRDUCRmLwksbCX1KyfCuPfrxbwQEqWFwwA4Jmb5M5Qex4r
gbKNgvzXJd5kRHQgixtAHtyeWeO6Ax8JEE0FCzBSIwPD1Uv5yaTsULXJpGvQ7bJJgKjUd3PWIBia
LyQ58aDS5qNPlwwMe1M0UUElagF8X9dQhG7goLqBbHdT4mdtvLiDGjj0wYjmfG7BDgz1n5Ttut3/
JNdvkuvDt/8j4rcuxs+iEIa89rc77b5ref79/q/6kXjNMIbWHcig36dVLl//J2dXtl03qm2/SHdI
gEB63Z1sx3H6SlIvGpVURQ1CQg1C4uvv3HXOOGVz4vheXlOj2BixFovFbJIcSLosBgEBvSCK1s2/
+0dU/E8sxLV/FONFHwSFfzB2/H8Ej9HwATROsAQnL/n/HKtPkW7RFabHRJrm1+PvUddoxjvxIJuc
39TJKU/f4KL56O//yfH53LjXf380bk6aFRXqJs5Likx5cG7fP9eEb/8imfyLY/L/GB5f5fHwLcA0
u916ca6ncZreW+7iChcQN/z49fSfVhv/LIsH/MuVk5mRJceDbjq7dzpReQxIDjo7h5jFihwAnljK
y69/7Lm18jp3M759a6uen7eZZvSQxbSaAL/h2e+/Hh8dz0flxT9/zLXsePQtRD7GusVl82wSzV4n
iWV41YsByLjfs6Xfikg4tLXVPur3v/7BZ/4gH7Cps1iv4vqDa5eL7W4AwsUAoWbq5l9p6NnP/xQZ
+p+/6NpwffwXZY3D67Kh6dnKWdg7vlPgJbWcSX2fyrolrxMjjTyO89jjNom38mS8xH29Tje//gOf
2R6Atz75fZWvNm1NJQrVzWP5Xig1mt/o6PL4DtjLXLwDBJby21//WPK0PPznr71+10ffTws1y3Te
07Op8FZ4xKWyEDT5oSUdLTqPlV3Vwewiuh8scJxnQ4YBdUhUZUSBtvCfbPZ/D7fsug6PZtBVgA10
qcV6ZyQ9ovz6IVLbvLCYz+0WLwUNSAs225f0vO+z+BIPO+BIqBLfhE3dS0Rd1jZ8plN6BmSn+SsG
3fC+jxppjmHDe4loiGyqxzpNz90i1t8SO6JzWDoRluYyLw1NnW21JmN6XobI4fFwi9bpxPUwiMDp
e6mHbFWS7V2L1AN0anvcOd/YYRwRt6eg9eFe7kFfkid4bBXFFGlbVEvCOjQSsurPoOEzb3gCIGI/
zADH9sMu+Nu5AXXwN7Us0Y+g8YV3+5uz2MR2SzM8lyTqvFcsmg5bI+fphfW/7vF/IO7/CW3hJZJ8
kKwzZC+LIcqculj0+tczmm9JcxqbmuWBP+NlEMqGMsOdUBTLYshy0/OhR6uuT7rtrPFSsIVFsvDS
xDisY0k3lRWaSPdRTnv9phcAaPz6Wzy3Vl6esEAyJBYlVEGirTl38yTofcWAFPss0wyXjF//yjUv
/OyLXP/9UaqrM9w8MqGzYuoYYKHKxW/yKpm6Fy77zw1Pnw4/lM0O/JzjhREj4B1xu7Gv3A36HDZ7
L2GYVQwCL4W8WDt8gaWr1JmZCO8WYcN76cI0tAcgu80KhlYfvsGebRGQ4HvjAn/Ai2cJwOGYb1j9
PFFjf6uTtLfnqRXOvg36C/x2jiA7nXE550U+181vIpvnt1tTjXvY/LkXaGKf8EIbp2hSULY0N4uj
W36opbJxWIhxL8S2Zh85UMKikHOl2e2syJodWsOml07ja+b5yf7nXpTtVVvFyuITj+Wup1NbAU3y
VgEBze+qpVR41anI3n/pVEZ/N31l+8Aqh3uB121VKQZnkQq7rNN3NS7RAhcHmaNqzPCayZZDv7Ru
PTY11+oiN1cJtDTQrvqwxgs3gQvsBehe8kigOV8WSuD5gTZWoOvS0Rf2R3KNlJ8tL3ka/+m6bM1I
xhwdEDcNZ5eUKzo/pXPdjc6p2N9Usxp+6IhZdcPQhEgfNqAS+tdEZFn7BVDTNH1hKs9kor/xBI8S
Xda3qR5swwotypkeucv/0ttmx7A8mnonpwHTIWvbihUV2kFfUxw/D3McqbA8l15376PJj7Tq2ygS
eYFWcNweTZIpdzDNtM8vbINnwuCqxvD4B4Di3VMCmHux7LYktxmbpvjbphOERE3qeDj0QD6pA3Fc
V9+1cjMJXDcvwKntO3xl9Lt4hubOQY9kBo7NsCgwxaZegDvm5Gg40JVmTJMz39fq5PgQnYLya+pF
MXhycd+OmytmUy2F68WViqLbF5LEM3s29YITehrA2+GeVbSkUWCOJe0JEAwSuKm82MRFZMiSZnAF
wb3xAGz1575iL1V6z03dOzoTrnu2dZUrKrEvr83exzg/xzppA/eNd3LWrVk0nXZXROW1P7xueG2j
GSuCPivzopnqNdUgNbhiKQlDMxUN6VklTdjcmRfNGV4is1Xgs0YLuXIrDOhCEu3+sLl7odzG0RSj
o+0KYHS6y5z3oE+kzF1+Pfo1bH6S0JkXr32Z1g4YAVvYKP0LN0G5XkBl0X2xWLzc//o3ntk7zAtZ
uoq1b2VpC4rAfZ8vQ3tO2CDDbsjMC9mlR61iHbcgKKb8NstTc2r3PjDdMC9kgbPuysy1pqjmjr1q
OiVegyMbOHUvYnGSllImdCnw+FAmxykFZlfUm6xPYQvvBW1aAhAcOXRedN9sd3KplntTAlIcNroX
suiPRmti2uUymcrOH6iNs+5NOmW8Dts31ItamTTrWK1kQ81mHJ6L0q97vvcvbPxnNuX1LfjxCZm2
kWRZVq7nsQMHg86GHMYcPMWgtaFe0FLdMlK2gCWBxvd1IijA+hyYvLDBvZiV2k1RNPN/T52REajD
lYdO3Y/WNCtNVifrObdoGpPr6HP4wnjRKuNVl92M0bcWSECTSXPgnLSBy+5Fa83SbIhJjNEZ+Wts
WHepmiqw2US9aAXVqMuaCoPnzqiiAyMcVyO+hdUG10eUx/txW6gou12u53Qp7WFLALBOdLmEHVF/
P90/KjhVrUk/0NicQajqD7Zu/jItWLRB+5F4cTq7adFDbQ3ojzV4zSz9Gq0zCRzci9O4TCe619Fy
FmPcn+at+WM2bg4c3AvTcc63FpWwObc8BwiwbbqDmUBYDVsXL06B5oyqJoLwg8hN8hpaAvQtqOxd
2BMV8eJ0M4yAopObwiVQoTu4HviIUwTC/Ry2Z4gXqmTccmV0tRYQeuinQ0R1WmhLlu9hq+PFatKA
IwfwKk7Wcu7AwZ2T0yzb/Rw2OnkaTmaCRkK1p6ZYcvp70pJ3M6Pvwob2IxUMQrXv0VI0dfSA9Ph1
JyKwv3bFQT3OAnkDmkXSi6VobZ2dTJ1+HCTYkEETT7w47SUUMvLMmCJqluYIUM29IGMcttmv4jqP
Z45nYQssaRad+277s9mTzyRVr8Lm7UUp6NWARLfRDipUMi9QS5hrfthB7gpLvYkXp2sFIrBk01JA
pSn+whbkAYD/XRJWaSReoJoRKhZdOZhCDZM7DZv4Vje6DFx2L0jLrBnFCuprke7TflQKHKZZvvTy
eh3kJ5eDK3jg8TfNe84aHamlgKJO/jqbq+R1F5X6c9hn9UKULGSZoGGJ7VgDzUqV/SKyJvCTejHq
GGiXZS1NMaUrAN/Z9rUbs7Ae7N/vnI/OUmbZZhuKsaN2/sjM/hp42tdBSxJ7ETrYsqwWAFDPcRlF
x6gt7xsXB/YHfHhekmgtXESiM4/zN2DCfoVCQxeWWmIvRKMadfo0YE26un83VMMFpPqwTB570cm0
3emGpvd5cOvNZMkrloadoLEXmHpPFz4AEl5wVd1nw1aAfx/28hl7Ydl0y1ZDUiU6a/XJgXvZit/C
dogXkl3eTtpJfERWy29g07zLHA/LU7EXj2ZcQYO2fAG/p00+un0hRWvofAqbuBeRtC+3K8RvKcCx
6qEsI2/yMv8SNrZ3asqumVMo8UXntEF1C+bEHyynYQcb8PdPkyA29ggeNo7kuuHbASIi0SnPxRoU
OCz3jk0Q28XC0jU6j/wDmL/gTgQdDOzKH3ycu+uqHtlY78tVdwmSI1CZOSQj/xiy4Cz3YtICPLLv
fTmfQZq9sR2e20faLkE7BUDppzOfjIll1GHwrEvfUqO/Nwzc8rCJe3EJqbg9HsGMP0+Kvk0x9mbW
0LG90ExsA52bLUHbGNDpe5NV7d3INh64Kl501jOEoFDPYqOkjh9c3H7qeB1UYLHci80tN8zKHJG/
0X1pjzEr+XAiqICaoNTCci9AtVWsBIpiKSqm/4js+hmPD5+CvqgP1lopjaGfg3UxpkpPo5HNAYRV
EVRHoCHk7cV6FehHb5j4tr01Q3y3rWNghGZehLZKxCBv0bnIJH3dAXB4zsDhCVtxH/JkqgmYS7Mu
gDN371jUQa+tDipSQAj01gSycjvUCeaCkJQcrUqmY8LaH2Gf0wvQHS8Kc6aWGQgA/hX0v7tGpB/C
hvbic5uWUmYkmoo96eyhG8R46VUbBl2ApuTTVRlS2+cr8DUFnpDcqXfDg4DWTFjauupbPk7mRpNZ
1omdCkgrgQ89myl6FUEy5n3YynjhaSOKrMgMvui6/zmjgtvm7FvQ0D4CacHBU2s+zIXk1ftN69tY
qbB96IOPALmXvO3YVLh1rM+rrcgp6vrvYfP2grNxgOBPm5yLvNZHyfYHlb1Udl7j5L9vVcyHGdkI
/eBVi6mo1ZqCQSh4+3rkejvYlpj9GDZ/L0jBf9t6OaRT0TX0965mnyMtP4YN7YXoBhBix0U5If7X
+WadIZiRQN+pCBvdi1Io+aTNRAkmzpLPao3AzYv0b2FjezFab6OWU1zPRUoayKU4anZ26LOulmGH
tPDilNVVlRmwmQu3RRDWIB+bMewuDqnWpymga9IRF2YMXe75uyVu3pSUBz1DgQXnDQ1asRrXfSpo
qUgRZWR5l1S2CQLfQmTi6ehErHG6NtiJZex2SNqMBWWBiC7mA5bUVkbLNtdT0a86PsSruIy2CusO
g/XwdObLxIxhOZYc6fHVupNXXbqFxZAPUwLtqwPFv5oKUVb9Qbj9VT5Bcy1om/tQJAgWTGA2yalI
wK6jyXg/xUvgvL3onBq8TnAbjcXMs89NMr3r5Bh0iWPcC85yY0pWup0KjpU55MCFH8ZdZWH50IcL
LbQdI4hVjHi3qcfjROQ7E+VhJagPEo5j3LP6NB6LqqHgU1s0Ks4mjnjYwvhQpLbNARtrd8RNvkOx
0nD+vmtiF/ZFfSjS2qa8BBhuLFx+5dLN7AEnadjrOfNhSCbqIYK0DdguQ85iiVy7S4hhZfkqg3o4
eOF/GqPAz8Z5tfVY+6q24tijeVaUJRvD3hGYDzfapTGQwyt1kUWzHI+r1eqHyYUNvDT6gKNEkZhZ
6FgVU73PJ1Xx9oAVSi9BmcAHHAkBtc54jXVhOk6OYHpCCxq337A8k3oRu3TAxs+018XMoNAMJUUi
/5D71leB43un6dZMkHmDvmUx1O0ASRj1aeuSsDMv9Y9TMlgF5VSsO7Qfb/Y5ni+2G+qboHX38UYr
hT6m7qwuWgiGfI6HsrqBFQy06MKG945UijyZkh2fFVKR43yBaCMUX9ISusqBP+BVv3iMk0OvV6w8
ne3tNGWf6rEL680zH3IkpIIS3DLpQrDlQ1PN76xcPoQtjFf1VuUO9bMO2g2iz3/vB5tAaRyCL2GD
s6epZkTLPIuM0gUkEbPfoaO13Rip1sAt452sC0Qmdgfh9AKRmh+geDIeoj0S57C5k6dzn/YIb/Qd
Rk9XCEKlkGSS/Usopr9L0J9caJgXp2OzAV6XkaFYORRhD3gtbpFsRLNdRQDySt4ovdsPRs3dLZ1p
xIulrsf0IyhuYnyL/t88fciF4jcS75LDTSt7yA+JrkEzHposGcSJYVMwTp/sSCJzjPexl38MdQ36
PMT2G3JKUvTaz0KbzZy6BF2yI4jHy3ZrxihrCyK2mt2WQ2v3YxKjm/AFNHfIH0JjaxYnKjaMaTvI
9lyghFXPYNsRZy7Qfdzc6aqB1P++CcbKt9Aditpvc5KOY5E5kq/FtOHvPenFQXArXtPs2MNKQh75
LipzUyVDld+DUA+qVjw68oFkuT2shE+3upmhxxMPebZfrOpWdlonVqXnVViGFnZXr+xYdVoNqGfz
fD9mU0MhEzY0U/LK9hBTv+1osrDCYbXtMaVyvXUuUg8Qy43ZicXr6g5tOZXuQ5e0gwirQnz0y9g3
IHe7fChyNNsOKWnva1eFsVaYD36J8adBeUoPxT7oUp2G2LYF5HiawOqPedkeAgaGSwM/CmjjDmhZ
RdAuhbpVUGz5MDVQ5ndUwZ0uaq5gsiE/lKIJXHQv0a94Rto6OCYUUCko5ry7K9MkrLPpI9TSFbCa
BO2vguQwniijXB7yLhkC18QryyYYXXCJF8eiItAs3eT4g7dTWMVKvSTfgpu79iIeCmjb6QfQv5qb
gUKqJ+xrelm+5k1sesLnorqK5TEU3+AVmOVr2Ohelp8UhFFXvQ6FzCrz25SNDi8RfbYELru3z5O+
gZw1xUflUF/ZzmTujTuIKIWhQND8fajXAqHRMqqXocBD1Q/YVNyl0RxGuWBXrcnHTU5t7LSOuxgK
CH8BR7bMYuugVtKSH2Fz94qaNR0dhaCKLrrxqqIthpHijT0jJAyLwYi36a3uuyTeKhQI8P6EEoxt
z03TBBYIPt5LC1u2rsIRjjea6QhEGT/qyMZhbTcf7GVjsJfTph/ARO26O05hpnLg49VAJWzxvY0/
txBnKYcBmaw30Ijsafw77rR7WCuYeOWN2NTo1Ix6Fa2s7RYaxqYQ8SICN71X3xDamby5Jvi2UdAO
stD2NNDfDotZH/KVTMlmNtyTi2jv6V810OZ/QVBQhSE/mQ/6giQTdFdaqQvoUa3Rrcx72OOU1qYv
vB0+Q+9nPvALfNCy5F3WF65L6PRRQ5dxOJaihwqonQfo6s3qATpuXXtCFSfzY5XjMgoPIcjNh339
q5vY48QBIi2PTYv60+4jhDWhogUBClX3ugu7RvsAMR5ThzvLNTNB7K18pZoKjPB93Jc4LDp8iJiL
zQRKKukLShOo92y2tezQSrYG1iiJd6rx2ampJ/iB3RDAlp35DPT+96DQ9lFi3aL2JTcQm4Ka5nzc
KvrDLWnoxL3IrkaXzPDUUAVq20tH5B0hc1gL4G+O4yMcl4oiyAJCQaRYGKRoZcTw1GDd+7BF8U7i
BfJOVQKtt6I0U3Y2NcwxVNoEHpU+TswKOCH3+KJFM23RNwWZyO9ThOMmaO4+UAwarP3AekhhoVx5
EKt71Y3VC1ou1/32k6uijxOrNrwz8mnoi3kj9V3STdBbbgYbdoj5UDEreZNBqVIVFG45sL/KsvGu
Fqavw8LUB4yxfBso72NViLRvj2Oe3UiW7GHngA8Zm6APX5V50xc5q+39DIV26OS367tff9Nrcfyz
hffO3xx6x6tNcL53jo2omuO5ys9dnEBai+Ni1AfVWHAgeJqKIchRlnqZusJN4hsu6q+VqD//+i/4
+dahVympx1merTGeBkHHAkNwgJr2OJv1L0vHMG0AmnsL1KBW7uuy74pcZyW6O3N2q3hqgkKKQuzq
yeQH0prNTZh8WdW44ydEwz1nC0sH1Mfv5NxBm39GsyOxS7Kf+gaPv8e279s16LIIDYCn089g6aFR
RsBlqOYwHqji+O0A8lRQrkQD+unoO29wI7djdKqSahvuWihoPkAxMjVBs4f059PxM3j6Qdu+GgqY
ncA8Dbuoveb7OB9OIVuT+aKeCorJ45o3SJgp+WCW+H2VlEEbh8XeykOSBEZ3E+aOlm96aia8LzmT
9EE5BzbET1emR4aMIE5dnxMxle/XPdIfemhQB5VNkHp7OnrX9MlVqrO7FgbZO61oWizwkApadOoD
HDVaXnGprgFbo1U2jNm7iFVN4MJ4VzmzL/1u9qYDbAW6YkcwYsevrsuH9YXx/25W/Hc+pj6wDFYI
ZOPcIJtxk6o3Y5L05qaR6zhdcBEz5AItPT6fxrTbhvtox63gXot2VF9JQtnFcOJuBYv29JA7iJ2i
6RhJ+Ub16UaOahz35mriWbpvQ7k35tJrnLlHk7bbd6oYe7XqdrnbYft0oaWxGAIiFfUhhqC1+1gn
4Le8g9wyjz72TabnEy5szOG/TvZYx0B+PrS6jhycpdjcvKYQX16DCknqA+KAaxzh8ZfWUKtO2oc1
l/k9aUgVdsBSHxI3RDKFgcMqC7LFf3EywtClehuSAKgPicNdc1cRt7KgDjjbDr5xsG95Seniuud+
tlW8g8+YSFVu3mQxaohp3E6z6+wp34F6OFncEKpbDuXw+mvYX+IdgzDkSzlbU1lEOuJnJm13cbqr
PoWN7mXiei8N7ohUFuvVayEq3eelJS+t07XG+Nk6edf0JK4aA7MIWXD4vX0Aqpq9gXfU9sfWJtEL
zcHnfsLLxlA9FRWBFdd53qjkp3oZpxGmQROa7beNBaPthUv1M5/cR80BngBLRdg8Qst9kRJ2Q1sC
dFjUnRvlMnIEojusq0R9EF0FB1xVTh0WrScRgG78MxJRYE0lvIt5BMERNAJ6WSR4jluovSw0ef/r
nfTMl/BBdAJuuZkDB/ckK/gU3+bdnF6GDPLxZ16tXRyELvjbM+dxzZlibBgPiggyHdD2A9e9+gID
kjBqK/3bvvvRBXTe87Fp9qkthEiXCzDX2QF+gGGXFSq8SF4btCKpSWpYRGTsotddwe+3CbrHUeEF
csx10nWiK0/J2tzFJVwKBh645l4Yw1uxg2YwhnaOnct8vKiGBN0PqY+h26FU1sw57CZkQ16JFPrd
cGP99X68JuOfJB8fQwdY4VUIF7LhurXjXTvPCxSf6Yewwb1CqkxFve40wmaHI8pZ64kd9rxjYWWa
j6GLczmVaRw1hWhm/Qqo189jBbeFsKlfM9yjPV5x2NmsxDRFt5PuYvKlv4nHLgyKSn0YXbRveDdU
MNBr2nY86Tq7jwSsgsOm7p27WxuPZqZDfloUa7YLIfaTnqQMayrCcuDpytRDDj9U1uenfh0fJMzi
22kIO8R9KB1cZrZKVSikusU0h97AJRheSi9k3ud2uhefK9D5Dgw/BNG8DnAbn47wuw5MiT6UzkGk
Z14X3YC1pPZjX+kBpj1Tn4cB0iBI/XTRc7WDcyHTHESrwcFMpCunV8MmmzAeJPXRdIb3ZS9GCtdF
6/Ds+Q4ogBcSzN+t2p9kGB9Lx7hLIE4Fx+xkj+j6Km5UCoJRBbFN6Lfj+aBJc9iIinFV6Zmjuwaf
4EWmKyQsNd8vo8nj8ew07Cr/UCIla1FmMIEO6sBTX+Gnyxf4QGfpfG7ENl3ScoHMbyTD3tWor/BD
LaGuk8t8phZWzWDHfwSl8iX7ime2sy/wY+wImRyxz+ddJO4gYzkdhQzMT8w7JlNpeHS1ID47BYkG
u+w/4qkO4w/BnOTpXo6cVmPZUXOugJiHV1QNRwcC+lZQ9vMhEw7Q57JZkUyFJt9mRT+omoRRKqmP
mKgVbuyDZubcxFN82DRsdcoS0JmgmfuQ0C0aE4jALNd20rRUtw2NM3OuZzn3p7AfuNakj860vmkW
niW1OG1TzXFa7q3pj3XKE/o97Ae8k2dapHErDIvPZqj1WWXMnnTOgp49qI8Jxf0hpZrCHjG5itDZ
FI5LiokgsD/1IaFarGwur96Lq4G2dzez8TDAceWFHPhMrKbejme1gTSD6c2ZtAlcR2TSwsy5+xa2
6N7dDn5fMLmkJbz9SK0OWRSBTbixOKwO8hGh8H+RMYvoch4A8zrAj6R66ARdfguau69Ax6zWNOHj
co5yPMExCTPqZk/DFoZ5t7hmsskAVMByhqIpedvDr+0bj50Iq8l9NKhLazsuBimy73l3hLI55IlY
+ZIEzzPXRF/lq0tgLiIHml142aXr29qoRl12TrrpwiaNUzBo/X0wVbnSkiUtElpKsui0krQ69psJ
A1NR6tXQui7FsnCMXlV9c8qApDrmw/5n2NS9ZCZbfAHgGaez3vR+bNTYnmZVhuUa6iWyXLN4gQ3U
dF6lWS+qzsgBCsMuLNlcPbse5+FdUc7dZKfzUrvukszyk0vaNPCTeke3qxVzA3o9Z53V4qi6rT0C
khoG+8er/tOp9wJ+4CIr9TlS0XRsne5hGL2HKTeBAf109JKxboLLsz43y1gfXaq6YwZp+VPQjvEx
YCaBi7mZquzStr376OCX9Fsb9y9pvT+T430UWEmtTQzAyud0SsBHueZ4TZKXeoTPje7lMjjcoF29
5/mFRWidr9H3oes/hi2LF6UyIUkJSwtxgc5XCTdeB4DfUm/zl7DhvThNuoEOLp7yS6pVDwxru/H6
niddn4XFqo8A03NmUDjp/JLPcEDPyV0XBx5+xAtUCHGNy04wtGIoha94iD4MkEh95BcMFOAdL8b8
4q7SR9Im7MjqzIYVHMQL0zbu6sXtA2w2ZXnTT/ptzMPUBKkP+4pTgIqoUuzEAX+Ag9Y965t3QVvl
vyBfkBGqJ9qzE+FGJQXTHXjXtVXmU9j4Xjuq18nYdmYQFzbA1Q3o/JndXal6L+kJXoPxJzddH8/V
RFKzzJb8onQ03yzluqqHWcRVdQZPVZS3lXK2fr248v9wuf77dvCzH/XCV+ykhNPa2OGmsNl+OyYd
rAL1WUpEXXepy012h3FQcJA59HTE2b61+9SL26HTvFYXXKxbqQ6dk+t+W5d7VP5BqQXsro8BaZUH
2u7OwsQwnvR4L3mS6dfrXNqE38KpWYwSNqRdFTWHmOYNrQ4TzJpxKRo4Pt0hzceh+gMe08okByZF
o26pg5crHNpwoRcVvPlWOx3lTtvtAyTk7NrAABWuO5D53psN9rEJLJE5O+Q7tNvlTaIlhza9Qs9y
UQfwCuCMDQVUMfSfNFGoHVvRZj+UVvjnyYxsPXHAfenBYIXkcV0taQq3mw2uSzKmc//HgKatMIdt
SuLEHtIMtsZf+4bJ/LuqDLx3QOR0w6QOUPtq9y9XkN6NdmqHzxtEo+ajtc2cyJMAcbI8OzzZwPSQ
lNt8LDPsNFgAcrunsPFdXRq/SrKV55cmNU6BFzYO+w1k/Puj4Hrlr9vYNNkpbqilx1rwEVVYprJT
piCAe9jGio898JvtUFenJccVSxzRIdlgxLlMYz+JQ0a4AG9kbYqSCZSNyCVcmTt8raFuDlOGyu6Q
J1GnTkb15PdxUfwEq+FNfDeN2+lFT0MqH9xEMv5bPRIhHuhSUnrvyjoz1alz4KiwSw7vQigiOC5M
9xoMjQzfSzdwbu6PVezyylxiqBqjGlPx4OTNzulmv40wvh2q47CiGXwrwEDKPyab2Ob92PUMTmJV
Fl1lIDvT9TYCi8UBtAUFHWFWc97xLYfhFoaRuSO3XPZZfZBc5hcOx/TjwDerYBWf7vDgu1aW6/wq
NrM82wk56oEPlWk/bhup+gzbYSDm0tJ0hitiVTMCldh6707ocdTZ12yh/fAq3xyaQHUam206WL2g
mX/Is1TAe7hbFkrpMU/hlfgukRksDCGwIrdXPbEJutrxAm01h2fmZa3A3Yr3mS9AcnKIrMWd+Ua6
CJyZCSbe+oNIVZKdYGiYtt/QB8k6BI1iw3qa23SYH6SJK/4R8KxRXdpdgCaUD/GQ3rk0IvI+qa10
fzZ9NxgwZqZoYA8jgrY+97reya1WSTt+riMFH02kN1nx9CAUy/VDvCwy+cZaeCDuh7KCNXlh7bqm
d/HUsOFLa/meHqF5H4ONXlma5JB2Tnn3vVxsJStYHcrsW0r5qD+DXe7qI16XcHaBKjHsr4HqmzP8
z0PEvg/ttLpbRfS+f5QOXrdHXSOSvrcM2xw+6sQ9LHlcXWIyZu2bbDKCn+Os0fX7Udabe2vBkSAR
XqKhG5CdrkrE/Ha2S9//kHi5qV+1fKR7McDzsixGkifTKzPmghxbBv/crxknLP8zsbJ8AIU8usMz
kvsOdog6tDatThUEgqLT1rjM3sHkYXU3EA+iX7q8YbBO78B0fCdgMNo/JFXZJLd2aMx+jsa63W5y
OHbzQvBNxp9jXsryfT3msNrU+xJBE7GN8xk8FLharnerm9Pp9Ry7Jb6lmuvuE5w1yuGNSXNRX+Ja
DuK0bC1MpA82zab6Avx0Mr0e85V/76AJ0B9LdGnsm3qLJ6SSetjsmafDMlUnGGbz9ZVsIXB8KSu4
aR62SKzVxzqbc3artNYwLS+jiX+r6xzum1U/y6U9wEa8jGEOxOh2O3dqXk6LJXF0WuaeJIe+c1Z/
pUuOGZzSuEogZ7hhFk1UzdOh3aK5P/dXSZ4DBO2cfBgtiGnnVE/2dwLLWw7Hswoej0dYQfDXKJeq
v0qEMAyyu5qoI1f2fzn7siVLcSzbXymr56YaEBJSW1eZXeCMPhwfwj084gWLwUMgJoEEQnz9XSez
bndldGfVtbTMh4z08DMAkvZeew10+OhH5DPC4KjrYHmWkWbb6pOzUMl+8Minm8qsGm26Yr/ftBuG
TFkc0y4D4r2Yb25eCH1FRsaEA6GBW414avEq1xup7TztEOKISeeud3FHM2g/e3poRSSa3bJI0iIu
PrJ8u3GrkUAwV0Q/iWNYetSIULJVFXI+/RBk21TXwTOjzRQXVcLmoDDhEoki9dumXqcQ8b/HxW5O
HOZuCMpidHHpbwmS5x7CyKj6GShy7JusbpH9uodrvLRn0aCDufdAIfg+aWqcd7Ys6Qied1Ktt50M
VZMP2xTZPNFTiihSNpmydlDPbSZ6smHTQYzRJ9Y+1GuYxscBI2N1P8DprkY8q0+QcANf8Wx0E1Lb
IyKMvVAzBv2XuF55e8taYvCM9VXXVt9Jyzc8CR0s28xukLxe9vhmq9rRrknMC2uWqjwbWStygoiW
tXfzFCMUa4ftqGUFsoxI+b7BKhme5qZS9GiGWkpwmyFiwjOCiGp1rpT1+qhVR8AZjsEhDndGI/UQ
6a7IHX/Ge/LXJars+rmFaTw06Uj2HZJ8hP2izAPsT2W+lnp9VjGz5MiFhtaF9j3Iqt0y8SD3erZI
eZsGt0JAsqRRjoECrx7wcSm9rM7L+hj0cYLJUV02wfyh67ahP4O6W22oivpt/YZTw/QNPFLDMHq8
TmpImJNqTLe7LRRJh0jabvPliSvcehjNMiSC3TpsyOMF6RdmOoW2Eva4Wibo9eReK3gCSFxGYzIr
sMpD+NXJbZb5WDvvH4lYW5EhaYyzfZp02N8QXevUdAltxMcv22R0orLWLis9+YSE632Cp796U2ZF
Rgy+JBnKSwNo3D3xBhfxvMVqWouezNQecf4HWuLixt2yc1uaOoniyQ4bbuYkl/3imqB7SSNvu4cF
12w5jwoMvIta6qrOE1UN5m3VaUw/dXHqeYd4ZBhVa1wp0srvPTxTwwe41ifiywDnlebz2I5NjP4K
hogk71Ss0mOXWuNRv1UhZ0M2BrPHUdiuOD5Q7cEylgV0SQsDk4bBgzaaBl/hKu+TPMShrk7bPDYf
0hnP964JXcvyet0wf+nSPvlIY/AicuJ5qXL0okmKkMIhnQ9xm1K2ZGQNu/FeV2MFyXEE+869Fqod
7kinXdBmDAqsL2oY7bqnUZ0sl6gPJ/jvYs4qPiS8d9V+aZGU8zDGFXnjBikvhUlKQAG8Diy7970u
0304KRdfMH8i/VPbpGa7iVQ/DtgwE6wN0OJBVOOHBiaq013ZtUKvOU8S+eDBfAnyldXd8mQ2N0IQ
Dd1r7HLYGJZNnoqo1pfGAGPKqk6244546GrbPSRq0Y6XpO+LKSxj3Im6aqO7ZNbXJFdmrsUPB9u3
krngC42Lbh7DaM6abfUfFW/hmpRtHYR/HzTEbeRVGjbcTv2MiiuvpArySMEVzufY3ZcsdYzYj/EM
24OjZE7jvE/XEGU6gYBX28yTJLCnGh8hfJyH3qZ5TNlYNL6a+0OzYql/ouHkln2cNm2EZJIJlmdR
UhNekBZMzMyQaNsLHEbOZhMtlbmfQZ0Sfd6xLm1vG1P6C/fXANRt2siN4bwJdxwJNoiE7lByFNOG
sPZX1y6BPDWsp/bD3JbR8tRPc5QDlh7jz74tHZK4XZUcUa4hyLKBimbA1A3R0qo6VlbDWCOBrhqH
Lcm3zQqdDQhDYoWdwvgoUQ98dF1KbiSslLqMCTWavIoQxQ3PVh1nw5AoduZO+u8J1D/qLsbS6Q6b
Mpu4G4N4eggdLF7RAhF7K9k1DVuikZ8elkCDSW7XNGeQkd8BQodYG3miBG7kUPLe+YnHL4ML5K6J
FWuyrlvtzdK04iIdHPSLBo9xTtfZ5XFV1sckScTtzKQ/y2htP3u5qGdB2imvQ/bY0ql7oUr0IpOh
NqCdzG3TjNka1sKZTKLa9XuPeDd/ZEssXxFors9WeS4KPM4s77Z5W/f9pOjZg76YvLiAp8+ydWAt
FAi8T4Nj2aWLa7MSTy6HTN5X4ffalt6+UMqYz5a6WzmonNHifFFf/QBOrV832KbwKfIaybrjaGL0
MTUZVCHZEgXnJUogaIZ82oXnqYpKcW+C1dj9Ap1/+LqxNma58Mlib+ZEU/kZlWs37qiNg/ioa10n
t2pdWuSvyn5pMxfpib+SudXhZSQz0TvYNPgelgSGVachWET7KaiQJaxy6mtaF6FRlc1mWqMUFXZO
63xqUaO4rCQBIW3mqZ/rbyunZLxd1mHZviKUyqEcqiyneLpbrC2qMwXBkNrBRaeMDxNva/W4Ruj9
d0OfkG5vU+w7BToaiZT2K/1uN6ZdTC4Q1Sh6A/4siYpIrFScIsim1h819AHdZTaW6zD3Qi7V2YyG
hCyDoQjHRGpTcesf0RqnMbpgUDa3G2Nag32h6lMX3ekOS/K5QbPqPjW0EacEedtokDuXfooMaYLP
HWZaaJPXgSKlECB0lePpQLGUlfOC3d1M81osnZz4RwZNv33lDnv7mzGjiFVB0zHAeVX2NFiemdvU
KrMgjlOSWVtOXS5K0sb3ZuOr/5FA7t9+n2qo2XZcIervybfVKmA4QIfpARnPtFl3/QJ314Oog3h4
YFhl2BFDMo0c21O1pgALqx7y/aMiYeWOpKmasCuSbUIJgNR2xiRs4Af0H6j41Jj7RV9rEcS4WPeo
7DRJdxCNbKbX1gTDsh9UYMXJGDFT3LFNuKkY43ZdPjeCQovEqkaYz9Y147LXMuyCXDRzdFOPsmT5
iNmjRdK8SiRuSVpDDGiAsueTXkYUpSODnczrvMElF0YAY3k7yHg8uHLlTyOJvUV1QLdNX3zbttmE
PM0MojA5E+SLcTXsvePU5xIRpPNpIwYNWiXmNDPWDYHO7GydeUwjl1Y/FkSb8N3WhGFVMHc9VzNp
kDFxLFFm39aw5sJTR6KOnEuFTNMbLf3wUXBchIJYm0RtFtaYMr+adlMBqlQfBod1w3N9QB0QpWeL
I0B9cY7UB7QAkfg0wOI8rXIqZFg/6YVWFSyho47Vc4aHjJKcY1f16OYCCOe2tIrqe65cuOUTFvxL
E9Fu15Y167HUyvk8hEAw7oBXEPrA+5U1Z7dM4iuQmDeUHjZmiFRhoIAPyIiJn/pYlp/hZ6HqQnbY
FGs1NXfWhqjMNhiMuFOb8irXm0fgCBj04bFOJ9LejZaY9m4qZ3Mzaz2oL8hstu/B2BhTrHOA25is
6WszJ9fhTsNxtq+Je2WoJWwhtxG1OnhNds1al3Z7iJUFy5R2ErUBaAsLwu74CrwWO6EBvmPVvQOh
HxGJ/Ir0QPg9vTYoxrKYgoF+ApQuzC0Z+Rg8kBQkPpCC0l4up4VJaVvclNmHBoruUtW7NSRcpTvF
Wf0oR2TD7yIIBcYf6xI3Sx5UQK4+w+4ACbIT5SbZ9VXsYzyadfw81ehHDr5XJosVNlCdLfOEFDsZ
z9U3TjsTvxI3V0vuOxOh20mTdlkztfA2+FTXUfmVX0uTI1+hMn/xTL/bprUJyl0xRihmu6SZjwKZ
IDwXbOreB4olm3FEduSIBQmTXSsS/gv415ANF8HzHfwtywStDELV92ucuvRNy0BAf1yLEshgIDo4
IxkNK44CRUnnzpQNw7e2XUmEfS6pVP8Kpzah8niqHDkqm/jvaJ3ldjO1cfneVe0mKCK5/RLfdpVL
xpegDBl9jxCZQb+jtayAjChJb8UwNdg7wsrnsYxG9zCJMtWQGmG2lEgmw4c6YAxoNkqP8IY6GIru
xTKxuFjtFpLdwhazZG03r8/wRI6Sj3oSy2MQJOYjL9PoBeN2ux2GEnqLYzCgMV7bbl12LOEw9N3U
oj/imjc3fdSA1sYUMrHhcZIMp6ESYsyp7juX6aBs3qDUXbORQiejdeLYzbTq4CFlbr1jYqv4fihh
MbJrqV8PI2IlDpFuw1OCHGPseT0xr5WQ1F+0HKAeXhb4/WR0nEv77GZYvH6GBweaM+NdUr0BGoYv
C1s8rkPslMK2IEhEBlQcKfTHPLQv1cpQJBJACVKiylA0gD1sugXFBBo83VEugZs4JJ4jpySdtvoQ
61C/wn5dNU8xHyACX5HA8FTjg2SkXiI959i2vXXZBGyMXHRTpUlOND7OyzCUbtirsVRVHiepdl+v
XNfT0Lddd7Om6dbiPZrAPDVR4toLkalDweZrsudcB8MRFMrUPQKK7nfYJvp+P1GqTBFXSxuBLofk
1t3gQmwi8IE5414Ajig1HTTabQfS8uK9fTJBpZa8p3PUnoNg6bYD7Me27wFFbFLWIhryRm7DiuVT
clyOxoW7RiRzPo7WnckQoeCs6v7G64o+gb08QiEAf0fgHDBqIElavgUb6OR7DoWMfwHOtC44iEwY
fbd8knGKDJxmAzxg2ln3px4TivpztY2my3GnIHjnTYXKHDtmu3R5NZYa/uUwLxJ3sEjjaS4c0/Np
HZIRAfXIzUZ2abkwXmcBhe3h3glyXYSBWqREuuKIjgmbT1OozQh3shBliCweVttiGWPe9T7j7CxP
erKhLBY4aodgYnZxEr0OCSq0YnFiqvI0WRi0Ppb55rVmcHopQvjN128tAI0k6/q5ql7CdcPuIYOA
RWeWRh3NOxG3cTEADVvyoV8AbWXQ5a2yUNBxhZdEjxN/RCBIvWQeLtB6N/uSDpmPtwQVjNCR/RZM
SFXIKKQe4hFZNkt6qLx26TeGL+U+GhSo7JaaqE3zpE2b+KGVLoRpskZTUNWm6548BPzNPlYm7HxG
IbZfAGBW/SbRqFtADnioVxSFyDUvR4RRC1PeVUNYb6coCdf+TmjgtBnTxMEvXVfTe0hJXd3HW9mD
ClKGTX+c+RLED5CopQxraiKbw/yn93qP/EY37UEu0l2OqQqdv/auMwECEjfLT0ELOOUtbLvrHWJo
fIpoElpB94cGrLufgR82OfQV1swZPIei+CZkMUVzSW3QH2vwLJavLvbCFCVjpT047NeumKjWza4l
hI9FjEQa22Tj1Plqj26wFTdlAvs1kC/bazwY0tKGQlW1WM+lDVOeQyciBS3gxBBiQdVlh3k2RqGD
PLNlJRtqFquTI0CCAdP6EbVdBhw2ajJo8zZVjHgM2n2yztH4nta0aQP0DlFiCZLoYWLyQzddCz1X
gwmZxWHaoU5M8qCdxIHFOvbrqYk44a/wjO7srUNrv2p88TpRCWqQlQwXmtbt+jHAtxFBVkWWDPP+
6maNhnTh25Lcz9cO+qYMhmZF8QW+LAymfCnlxXeRQbMyzYRhgScNMKs0x6yFolsNTSf6b7VHdw06
lU+78H2ySzCiGEgpGqbBQm67IK1mmM5GDDO/UGweEqUiV9v3psI04rNSbmj2iUz6wOHqatIjLJlN
9WOCch9rORZpQvcapdH4XumEOp7ZSMCt2aXJzD9EwOdqxL8A/7dfxZTMzasO5iF4GCQGPo/LtVGF
Y4HnbZynywhfY8jm9NSeqg5zLzwkiSb7KUXjw3bIUZzHG4hSJXX5hhnSgE63ntI6LULKLL9xGpOk
W1TXnN2iLErMc9+qZjqnkrjhFMwIM/9MwrAMc3at2fbz0AVz1qaxC26HEAZPj8Fs5hp7HGzoc4HK
uN/5uePTfW0shC4dDdPlw9aCRZbz0GDIU5O2h8XMJAP7jTOjyw/EGWz+PfIN1LKdgw352ihZ4WvY
npyWxKOeQgZ1HqWrnY9+6AU5TkDZ3aFt2Ba+AlWk9Fw3mATmOuxAANhBuhlOvMCzuQHbuiJqwX6c
4njOCetUkGHN3TFtfIJZI4U9xj6MQK0e93UQYd7Deox4fNYiYo1nflw1LaYqpcnRrrPYjjpZg7CH
pVvsZgFMTyIrbZhFpG5pNBnzSg1c1d9TmczdLQrbOt23tJrFs3MYzRSt5EpCnQhy6kPd9y27KWXb
N8+O48Lc+Jg35hzOiNS5W/BZY0SO+40+qDnt5HlVk2he0OjV5ZKHM6rlsVAD7wBbJ/Boq8N8xmLW
QQ7vD+Z1gTlgysW+ATX4amGcfoKDYWiiXAgYYHa7DqMgM59QgE24sDZVenrAOd0DeAYZB6M01G7C
PxNcdoirBK2a7QXTk3LdL1jJe7Ft6S2aaBbcxEEpUNixEO518XWMx+NDqBjTh0alI73d2gEi1yj2
g/3k6lnAtKKZYR2yt1Kvvsoix2iKGWcM0lU4Gr7kDMCG+dwtsKx/GGC7YOL91eo1AqaxUqSv82kT
i8pF51xT+G66JspZw+7pVCb9CdkfmzuOvZ5JIRev+9vYwKcGEGmIeevgp3Te1wDxoywwURTsMaO0
ddFyKdB26tFoVEikq8mXNUXM+025SbU+wZIhscDeq3LavpOeEvlVN0PYnkICqeMpBOo73kGgPdkP
LSypUdv0NFlvoyQw/ocfqdK33svAAOBbY55vAuVIBnx5xmylNgZkv9Emd3PYGZdbj+DQ04SPoIp5
i+MmBzeeYWaeJFdG48L3AmTS+3ZBMvBL6Bpp7ia7Rf05Rezddr3baQmtg7Ae0e0mTdRXwHwBKRTl
gTYwa0U/k5seT3u3Q2Xd4IDERnpt892k3UUE00JyHwTRhMXCxwlyCU2vV1BowFWoJCYqLiZd2gDK
7jqtv8/X8/F7OkOpDnsDKk/jIHyUhdjv2mcyTbHF2pO0G22muYHQHxATgqLSKqzDgsQ0AL2GyLG8
j6vUuj22UXghLm1fL+9WrXq9Hba0ox+ndWYJmpdRzWfv0239yNNOL5erhyM5mm4usw5mN2OGalRe
wXK9LjhzMcB84N6L9GwqKA3uMSjp4MGA2ngDtDU2QK0ogisTar9AuDryDMKi2O1WphugdtNYPYEm
EaEiWhDK/KTAbMS5iIwNeDeKhZfiNdWhALm3DzHPWg59OY2DzWro/ZJs4OARkByz72l+B5AkAd4C
sAntF6AVWx1kzKJ8VRnFLmuBIbYD1B4ZTOrRd+5XyEMRDtSvCas+QWHt5ymbHUJsxkO3WFqr3I3w
D0cdGrKVRsVEKlA5in8zk4U9b0D5AZMqYvMQjCCTBdyOZQ6jZPJC8NvBzeIqqU+iumK/Eu33qq97
ZlJehthMO6AF2wxea1AGp38r5zVcvUnaI4y617UImRrmbPMVvWBg1c8FKyH+/mMMpp+dhZhP+m7o
TbsLxZtKPrBl/8c4QFeC3T9w4GlLFoxr8LqkfuIALWr6ByU0P9sJDTA8FGWdpnsckyFAJLGEdwa7
tfkXGt7fMazCyOC3Hx1QWGzBSMNkIsD6G6uhtjedCwbYCJpJA3CKF4VYgFSM8cNqAN2iwVJBmA/B
ivv0zy/flVX0v7GNfiKWSYxo1jqY0v2ANNO2qKEjuAN5cMxRr2H8iFkcP/3zd/o9MtVPXNBpNHjU
wCnewxBgTJ+tH8q50BJ1buFwMsGdFI4kLarS1ff/4gr/DsnyZ3ciBX4YTpOY7hlHJoeF7cxuBNb8
L77Q7736T+wzjUQ/k1aCgjnSfW2m6NVxXf4x6Uj4Ez0UZfrYaVnSvUfsR1ZN/lTPLfmDL/4Tw8xG
ke2HmdE9MOgdBql1VkZAHv/5bf69q/ITPbRcl9pSUbO9DAODM30ps6jC6f/HXv2n1R43moAdhOsS
bx28ea1AyuQ2PP/zF/+dJzQkv12PbIo6p1eFx6VKRfzdAFNyech8jFwhHnc60zPY2EfoSqj+Q/F8
5GdHmIpLl8JGiO4Rh0o/JuNk7lUEePWff6FfNtf/ZXX/7AeTKk8AC8lk33FRAYEWvXcYruCfdx9Z
9pqg8sb/6ZOoZ4daqw9qqz9EeNLosTT1XKFXkdUO6Yzf14UgujmzKUqyXz/dv39b/0O+Dw+/fg7z
t//En78NGs2+rOxPf/zbh6HDv/95/Z3/+ju//Y2/Hd6H+y/du/n5L/3md/C6f3/f4ov98ps/7FCX
W/84v0/+6d3Mrf3l9fEJr3/z//eHf3r/5VU+eP3+1z9/+d7VfYGmZ6q/2T///Uen73/9c0Svsut/
/8c3+PtPr9/gr3/+P/33avryp4fpy/d3U/3P33z/Yuxf/8yTv6QMHCIqaBxBGn/VjLj3609Shp8A
h2CRIBy5PVfuaI/o0wpvLf4SMcZTMLFg/J1i9Zlh/uUH8V8A26Dlx8uxJMZe+P8+3m/u0H/fsT/1
c/cw1L01eNXrZv3fD1SaXN8CUHkkBMKcOf1Z78xg2rdEsCHYT7N05rmaOf+wpUGvCzoIdkGcGDdF
EKH/6sN12EN9oaABRi7aP1y2v3+uf/wc1+HTT58EHwMNj8CIgSSM8F8+6T+c/4h0YXXgRbwb4M/3
2nA/Ay4R5WmRSL1BCJu4hb1NtmFNdSUQPz3MR96KYBeplR7xv+p9EDXDYWiq7jOtwJbrKyCMmEfV
NVIQSvoQWjBIEPUbF6Drz/eVqjFaViNtdgk6o8fKoJ6u4Rdz4mjW82AMNoClsi13wdS4gtDU73qJ
OTkqMvcWARBFi8Roj7mAFzcMgzOfiRh0VoW/7zMwcqLTVLL1ywDuSz6r5B4dQ3CE2Ia22WYs+QLG
dntHCRTDGYTb8NWFl93NymxeA3r7SojdvkfNRD8IPAQHMGKXs22ceahBKFCZqpoaQyY3fIXsw5xm
tkyXKrHRORyiuGBgh+6ZSOwD8OCySPrY70JFzu2gjygTwDfC1PoFTKV2BDIEmUiC3eotmksB8mYY
v1RIkNjPqLBPqidlti0kvh0rGezxV8LDmpasGFw1HU0SilsZEHda+LXE9e0eUW6+QFLkfAMGXg2k
J5E77Ua9S2cop/J57Mnep47uSowOoDRl9gMdQ12IeiBFKsfqGXxT+pZuvMSGhVKXgFV81IZs+Grj
w9Z4n3UscHeya9SHGXEOH53DbFChvTzGSRJm0xDXuxE5rDnZpuX72Cm+Y13TPyaIJcEZyYL5Dqkb
07mWJCkiwKUgaN8l1XjkfXDDxwpn3hqASBqmF0SuVz4LGxnlWwg0vetjoLdA2tOmF4cGzrmZMeza
zvv2yKqg6MutyQ1aN8PMA2xjWNZW6HnSGWJRkGLrI1lgVANHO9Bkmsa+1Qr5Ir2xA4AiaXPfB8HX
dBvXHV96ZIRRUP+uVnuY6gVQmF1JtBpz4+t/se8SncQB4Jv8uGH8jpzSaPF3MnEYg1dD9BhiZvMw
d8t6CXWw5SPgpMJtEDUARruAD4eheTdvBy2tfWxbyg5tm2yPiS0xOd+COu8IYNIFfdBD4+v+grpX
7khc0x2oK+wENnKS02oEIaQP4xypo/o4QDb42vaE4G6mIwiMDQiwovtB0MvsIie6D2BBA3dDC1zg
NeAgVY3suKwQcK0gE50Gavmh72W8I70X8ODqUpl3gRC7SYY8X0FDKyZJ6uOEEdeukT5c4Zw4YFIH
5i/dzwS0JmwRDGvNwE0n0Ctm4H3nu6PCWXj2VVpmM1nZBSxF8rSsqAp6c7/qbTuIZaB3fEj8QbX9
UgBFj+4kry4Cm8wu5sklnLu8rUBxk2E/3ywRqb/5Yap+dHKdc9GiqI/gnHXrQZy4bCkZ3yR2/SOo
D+w8waH7rneJPW39QvcBfD0uBh87HzF9fZLgJHyJNa/PTFl6tG6ev01JOz5hZ+aYpQ7T53icFTA2
VQLFY1Csa8BfPbB2yZoTT2iOWme6TjDn2R/oNnauAK8IKLrR47xHarXbUyO4voefv+sLSK3U3Qz4
rqimQO2VBJ5QDRzzcoRFV3mEObAt4jEkEHnNC0EOC3GsWOryFdyj8pKANr6BdSSGOAMDCvdZoP8B
Wy3i8yMYA6zN4tBMr2bUW95Epbwgm6M74/Bb7koCzgv2NH8wfu7PznfVJx31y5JzOWFdVwumMysR
DTyiXC/zGDQMclvphp6vmQnJjmjx7sE0lyfd9+POzbY/c1DS3hIkAR83NYCaucAYCHPflB16THQ2
UMWF/lEPjde7cpvsj9Rwk5XLZt86yBiOCBO89FXwcVydOfZBGIGQD3o2R9W4ZbqNRHedeVis/y35
hNEFQ5hGJYc32IS04GR6vEHo0lPpMIX1Xdefqrh0bfGr4ABNffsAcvgSHboSXJITU34Rt7oD0fId
NDwzP0WqS57hS0HWvdWB/mKwFL6UZdy/Dm0V3EFj0FdZOeCA3kUT3q0TG3xDFEjmOKTK5FUuy1vT
ieDGc7qWNyGybXMGFgjLqQXs+Kt2AcZw5Awkmjz9KmCAlyNw6tqzH5GP6ROOQthTulS16tEaM5xA
kamfZ/R6z1UEXUaB6W9M75dOjD9kB+rLrqpT9rEfV/INLAl/ssCgDh6RozfML/xddCkMy8s4VMeA
R/S2VAl0PcHoxmd4brK7fsVVhfNJeliiMckSE4zsqSnZ+KlL2PiE4K7+2XfjeISOadlLI9H7YTTJ
WYaB9npHtpIcE1rLXWpQu/wi77WLS19NFbb8YmASpc5L8xQAAboBI9JkCTj3u7AZSp0r+FaEHwfE
o31yVM0QkOoaAEzXIih9Vw8z/cwwjOsvCoOTYWfrflOZAYV010bBZDIkdUSPUU8GbLeBfKwcdW/t
pKMXEjjyPNioO4sI3lExWYdL2QbypWcCXCeoSYHCLngJ1FpOYXYzLUW71g6E/tjeRGkCjF7wAGM2
GE9HcIrJe7cNGNCs8R6Dq+A6Jy+Xl2mNelU0asSog/XNeu+bLra7DXQLkm1XCA0ZKcN6VJGbCyfl
qTTD+rVKA1cMk68+yrgzdymRHZgLVZT3XULyBRc4h3rlGHcg7ARi5RhYrNtlRiJTMY3CQBsP5g1q
MX5YV/DHsak2HSYdcGC3640u+yCBVAlz52NqwFs5m0FVZ5QzEBTFmGehFSnZBxDKK1AxNc73g1Bp
9ICMiw3cdVgmNdvADBJlyfSE39pT5esDKE9IWOloXzCkZd8ghc/vqsHLrujNZN50ybasVNSDpBXD
7ArcWhxHBBzvkQbZEKWwRh02eVk2T/c2wTOaVBO/ZZANZLWcwEVOMp28V+Fpnfo3wONf4IqUKQJD
6PRtWhyJc0C4mOiBZ/8V9eWwtxHVwC1Xv3wMKj8+tOBz7UhTtv+XvfNYjhzZ0vSrzAMMyhzKHdgC
CB3UTCYzNzCmgnBoDTz9fFF1+4oc677WZrMZm7Fa1CKLySIDcD/nlzoqaCm8v7E622EF/MfxrP0D
gSWo6rRf3EqbnGOeJPLgUkESsaSR0INQOw09mO3AHMtmt8TCXB/7RVj1ua43F3VBib/cTY0umOwi
v2Ta16/TGKeBBY9C7w7tNzlmlccppfN3lzf1+nOySgjWpJ7zz97gx1FluKh0EI4rO8whHppwRk9Q
7urSs1CMV73I44DmDq7aP21AwL9ZmGfNjL8hLpOju8zOCadVs5dtV10rWOz7fFatxXyr35Y6ta3z
lExGlM+miilgj9vimHt5dfUsD2LC3NwjP/Ic3rSFR1qszG9jn9iPzmz1zNX9Kl44bVL0sZTbN1G6
kHdFq+6unOLprOm76bS3t1Gy7hh66P6Iq+Q6uy5qmrEwPrY5vvX6ysE4e3n+QfuCj8pQpUawblbx
c6xU8qA5Fbn9hxI3D0gtgqc1XiPtiOqORiCmN2MSbw2SzEcuuPZCUYxz8X0D2snBl+RAs+C0qONf
LqLznTZt9bC4mcUArUb0UDNid9wOxpshN86QdYnjJfSbShx0U/Y7Vbjt8zZLJw6WwbLvu1j4YeZv
y4eLT+Zp5RQ/WIkhAMYxYZRmVYRj0f/sbjw0Cpg2UrdiJenSgWS4mxm55nwfdwwF2WxfbD6hXb5q
hRRG1BjtlLOTXDRw6m2+K7NY3eGZSd/Msbtvke7vIUb7QwF8vPBTb8O1cxN9QZOuOEisYjwi2WNw
S1LrJBx3vTGiKHGK6lLUxSdplT+N2HsYJq9GZJXqsF202GdpNZ+MzONmIgG3VqoPpDlsD0Xblt8p
AB0faqYvKNQ4od1Hp0cAvPmszG+aMI8B5dte2xrAcFmPtuGk7FLbHK3pWu5NLiRE9Mma5iGOhiPK
tjWMLZIu0tOSued0lWiok4veMnmXqMS8VB4qQ53jkQy3xm1uzU2ovZfyh0e/ghn00/xKzChDdJXU
ofTWhholnUVgWvopWZlo4y5xLt4wOk+OWXrnSTTTbjBzvCaGh3+Pt/0yrjczjF13JiNoJW6PoRuq
lUfDWLoioprwGKOAPCD1POMMOKCPjEwvPUC08kyv4Vy5RcTUkZ2h7HNaI/Pl0lmuiFbJ3RRsdT2e
TFWa+9zIYeMdF3an1J1DdN1ydLL22ApmiM2ZvNC1JIQbfcWneCs5/6aJjzpuaiNMyxWlK/LDS5q0
/rtwG+eAqtv8jLjZCenBLM7Nso2RaZjJXWG4eIZmfzpuU259hde3P0u1Nc9MwPlpILHnTVdxfaKV
z3g2p9F91lurOStd1K1O1aXXbsjTu5S+jJ1gaPtuEjx78szGzgNnqH/YFHMFhjNclza/kAPhRquI
v4mFu89ew40I1XDMjFdII6jKdZJBM/v90VgLdVqs0b+b5ey/4DYYogqTTVibDLCTquwdOnYP5Wtz
FSkFFGZWR1JgV7IdtkhRPufTopkTqu4DGM6JSnwyIYYA49Tb1hG9gXEWdlbuKgKuMb4N/Vn5+tlF
LuF6lQwsp7uvrc+tWO5G5O9EUe2tQX7R6fxQzcI8Yol7QQS3Twx0K2V3jLV5u5ZkAgKLhIbR8HOX
+O9l6WMyzT46gI2w6CjNSbwKwmoZy6OPyyrgmqmuZKJaPMddffI9ffHctMQb42wX2ZHsrVyvOJba
OzirrkONNuQYi+pm0iqSA+0zL8IG9/XWagopgV6iDUGE5uGo5Um4LFcAnfq7beU1EgIFU5/NlYzy
kTMSo9kxrXM7codCHHAexvtaq/iyFIhDkQT2Rx8/aBxUba6uWUKpjbeoaIMBPhHvWRwydTLH9ELh
5BHfObEWZuZ+aho1XIWj7E9Z7uCC6abBJ8OEoMSDLkugXh2v3hh6+ejutz5r3ozZLyLPZkXZJDhz
ufnNBVnP9IIq/1G7Al2Iy3+PXgIK9DyU7c9qwcVX6tUog8QTSBro0RaNF7XAvnsgpuaUe1iWWnvR
EZ21691mIVKVyhLfbX4+hPejHkIFb/c+Gl57mhAEPS5j5e5jnGXwf37Q05a2m9pF7OU0hKMdC868
+t2WhniesEyw4Sz++lQKPKgE+8huP7jQ6jN1N8E8C3718PoIQGZ/Nxu48AI4hmsJexfJRs5XRfry
dbLruyQjrGozf+KRTMG/1dn3XxahYW/sR7KiT+WQfZuT8eeadNIORFMziFvtUgSuTNpjb3b1nmvT
IHOpWKLcMsSuNsr5ftQT7i5lZEduriNi36OpesiZKZqFh7nRL4+eV/NCqXLHbftTzta9Ubn+oVfb
0TXMi4sFM2DW2rfT9GW05qQLCQrWp5br4KUzxXpvx+mX0bbQE9fGm5357kOZL8MHCZXNkT8PKs3Y
olggTnbLNsaIYrwsvn1X26Qq5osIVd3Ia2vhMMxd650DPEGi0Lpvtl2akYH4LPJW861UEjeE9Lpw
w4/JDI2yW4dIFX6OoreCias58BWeH02parCW8pdW+JHT7FTqJUzn8rXF7hNoFDZZO8HNcYHvKV/F
KGUfimp9NxrP4e0x9C6bYwR1BVqzF5bsfl842V0eY9z2zeFx7gpGPfRkj2lvf8rhz0O12AjBCsG8
SIb9XpnWiKI/2y9EsIZOZhVAeaZzvyyEbnvFVEW6y+PIreQOM++O+Oy6C11zOjv6avji0sxZxutY
vSAVD8apOsd+7x+zfryXm790UT+OfjTWZvmatPXy7lfDGZ0giVgsHEHZLEfZFsuBoEOr2hXLWp8y
5Gh7g2CAk2Gm1lH35vTYblPyNdFmF/KGfrDyv9pdEc6PVhOgBfuhwLle0TvUJ5PR95SCDO2qZboa
+O2CClfCXizKOzpWkbObjA9JCdwyjnXzZps5nt18HZMgMzx7ZzZYYKthQsrfrM3VUiBmrA0xFNsm
X/ArZiHl3ctdvTkLWKYl25OU+Rh1xpJFlb+QullWgU8mCR+USLDIxtlOYYfzg7axs0+Tuzj3PGc7
+u2vpPH3V7S7W1DnAtTrhB3D2/G1PQYJxzhZbIq72hZrxPdU35stpmTen1/8OH8prTo9qJqCMyR9
+s2oQL5bt3sckdYFeSaynUaBjWzUICyJe545GeVsnjrIAIrmGZHaFGzMCeumHKQXRludtkY3YTvP
X9waLffKKX6SWeLcFcLSKF5SA4i40E0bAN8wLc+L7V0VYfyo/cgcUJGb89/hNpuitCJzkZfihwLq
Qte2EpYl8+Up75PWjPQND/eFQsSIn05bVvIZX6u+9h7myspGMLDrszxGbRrfvJXxuuSHGTXZV+xz
w2HQNvnGTJoMVHqMSocbOSMOJg868vkMzoUVj5vvqim5TnK9YOUw3jC/IdRrblbV3jDNV991aStB
F6XJCajL/Eo0RHJRcWMe6QYRiISTiqezKrc0WFap7pUtM0RVfXvkS+ydsLKBKAPbesv8wj3BZLW/
+rRhdIyd/jp3LEyVYYsnq3KTB0PW9qFNSTfG2sEARDyZSZz1yM07NaV7FdMQdQx/tulbWF9BKa5+
d6tPKK3kTFis9crBXz2M0k4PU9IOFUoZqjeR2dgtYo6SJIaCQHT0GG3D1ae2cHXaCZitHUHC6tVK
PzzJeYEyYdafLNO7G3GbAmbO1WPe1jI0F+dn7Av7m7DNOkXUacc/4iIrXxlDvuS+i8BTd0/W2L9a
vp7o6ATwGtFCEQjTIART/WVZBI+rC/DlyWo6LsZWfTRupo4eftQQHlnsphqFcAI8GCWr3h7FOC0h
PAKJCJTJApvhSuXVcgDoJH7bkkyVOsube0/bGN3aRVGVOnya1hRtkdVRuI5CADMQ1kHLlffbkGTo
cPv2q0P6AwH+sZoPtjs6bTg6dho0LotNEr9iYvdPnn8bd8gtkd54WRB7c+At+Xm11K+M8Z+AknKI
NBAUJwG22XAabwkTBSamsN/0Eo2DWV3lFj+OanuUifSfUhyQIX2rzb4erO9V6vEwupl9t5TMxl1+
cyMSz/Nx82iQZOJ/9XHrHmWTYktyPQejETEaKBAbA4qoyE/4M8wjty6rsXXOmJo+5YXp3iNUa4+4
55LzuHjGkcUONVFXPA2ZNIIFYmqv2uFqMqj33jARwA8quZusrT8R+GjcT+tys5w4rykptVGlS+iV
Do1QasgpGpEorhXBJLg1w8G0H4ytFVdTiS3wYtJVTS9hKdbaBxmS+jJUy7NpdbycXaWwfs7m2Yr9
FxQbziWtqhfBSxQId74lVPg7lOCvdZHfr/gfwlRiylrw4JjBpk2lQvJLxFFW3bC3mHA4C4FGnd3g
T5zJs9KkaNBpmYICdA4P80zCiSk5kE2/w1niG/JH7SpQS+wPIYPFxsfr9qeaxzBab2ElrNS62aOX
ze+GtI8fu23bziuxlXeePxShbvJPbiKfZJ/7+xFvsszNS4F81QPtPjhuzyi42k8+c9Elw6tEyn2U
ld3bOubv7lQDtOI5CdtaIVF+ivspjTYIlpfOtcvQMuri2RZ1d2n7Gp17ItM3F3vmUeNzjcgPqLGN
eniETBW1aePsKMY2DuWA73J8WuCa7pI5zc8579pHucRZHBaqYeweMKzif+INSCr3ao4WvFjrlLhd
m+GcIG+MFrM7mZLzNHBcvBTYYpkGM6aFIFcr10lZxIhNXUcAOUq61trS52P0SutNtKlzG4BQCnpL
UX0j/Gfg/UHDfuUvzc/Ykj4NHhBVYVj7mvPtzl+LXIUG5vHvG/VkO+7D+Smbt+mUNJVOAx/d/zu5
rMYrez8BMDzKb0tVTOECxp5Gekz7B86FvuWndoqvcvGn7+j12OsADfwJUkhrF19i5WYa9NYZ39yh
zx4mY+E1XjUfAhzTnN7HSJHXYBsyxsyisf3XwpT9KV3qjeOqE9OXWSj300isPDZOBU5VJW5dgWQ6
Dr672ioeEoSMSJyKxcdDnNxyixXi8CZ0LJV9Gou5O0FHMcZVo5Xt2aidoyJFcQtk3WDUVdjmsfjN
03uuqu9piVNjWIfvrOUGsT8ZRlXRWt8LBj4Itw3AKjByIJF+FN5lsoaMk6LmnwjHRn+3yjplpBTu
O8kPvEv8sejvDFv237BEZuhaaRvZN+Pk/sgZyPdo0+XJixN5B8u63I8dmmyXGr1TJ+dh32SF+zRK
hxMtVQkPSqv49MZU2kfDiDv4J8xMZC74N6SrChgVp5/8dqhLGWhRUWaeHcXSPcvFgYbEM02lkuMa
YR7nxd1gyOUFZC3dkwmFJXryBYnHbTkEOJhkxuuXT0mkiDaIlBm732pc9NPOKUR77okP+mQNvhlZ
oLJHvG72QzEbug9V7M1Q0ZYd2q1kqnRoasSmw8W3ZHsYxQPlq0QEbd5HlWK49bD6PPLgE+ts+OOp
tmrrQUzph08TVBVkzLQIHKcvDukeYe8k7U472yPuNcReTemjl0WSGGN+C+VQblG7vjcZmd6iDWyr
vocRrPn61vyUNG00rbrDYOptb7hNRERiUrcb83GOlsVUQVx0Z1S8bB1q645sgem+t434eWwwBahR
fl3iIV13eeW1yBCn7i73AL+I/VXPjo7J1cqR9xJinW77NM3jp7mas/2wGMsX6hZ/EqnlhtqPnYeq
68o3Omk4ETUZEcr3s6cRW85hImKnDDu/JaQJFkVuJCrG/iUDlmTr0Hn+mo5ieFYWhM/Oor5xCktL
ZBfXXxkJEs8xo8TmTna1CuPNXl6WVZtHMqamg7P4LGhIUGEQCZeooU7tSe1uN7Vi8dgpv0QrjyAg
QPUm3pax6YJl7FfQlKm4EbNmlBPItcPm/MpmxpQyON3Bqxv7Lp9zMjHXIotWbX2Ff4svDCL5tWCa
DMuWhWbNSnnBeIK7Ks+L3Qr3d1fkqftZGduO4JN5n2f2euyHQR1103SXZjOzPXpw8ZyiYiSki3sw
GJqZLCmmlvYwVHP8kk6LvAeu5EfJIQVVWzkXqGnzkd8qMn7prM2dGY9uCLtWLQFyYQsZRUMDEdkf
6te6VvSYwb6wA8K6LWdyUzIiGzaeHrDU12Rzxgd7bB6NZIsq0Ly7lqSPEzai3A/wFtaXhMAuEbQC
M28ErUKeVEP4s7/Vv9pZ0m01SygV4rfGHwXSgf1gFPHRTgq+X9031sFkULggkj4WFE9+aCIczB1R
jrMKErfK3vh8v65WS4E4IAJXF7x6gPGVtW2JI5n374LQjkPqZBgLMa65XeAA0wHuwN+JyHFsXBmb
PcrdrCWUYmdOFxK+ZOi11fhlWO31MV+5H5tW5cGAxJ1E0/qiKrfvg0a6XDZw5sz/7ZpmzwOKb+Di
HKuenXBCD7V4hGtAMc/zW2JiMwtX/6DJKnvt/U79gIHzr+5onrMxt5uAfRu/v2fNXcVZaBaY/4z6
3YCQfajNtrvFupg8FaYRCW03X2efPIkA0xoW9AW38IW7IP0OBsrmYbX2Q2JhxEQYhGXUq8oHiP8F
/2RFmkO/OOKSlAjIiaSAYDLcFumW8SXGbfjVxxYkQ1lP4gL6zG0z5W7+PQasZE3AYnmwZzM/otnB
l1qP7WeAoS9Zun2bFwrL81F2n2wLA0rWusjpuU6zd9yl2+dhJTOLU0isx7ljTmfX6NmmRIE6gJ0l
SvxsIn5vqZ68tdzCuPLkA627amc1xXzE6jdtIUjfQPBrUjt0XGHLSWZcoRRazQM5Nwg3/1xwNLDE
flPdE4yXGXRZbYJiJP1y9AxiT7bU8A5Gu1hPt3KoqzJgXgfOo2dEHka4gfRHDO3LY+EmztEaaIBJ
h8r+1OpBo3VAtQLbIxBzGM506McbPm7ozrzPrRncSXSlB+GFLWvudFRnLmIilXATZNUK0D5lRAaa
M4FGuGWugui2cKgsRD7VhnULg5/KI9lKrP+q/5WbGYFTddyOSPKRM3S62HaWbb4qsP0wEyZ+L07T
HfxueTUK69Gdqm1/C1gILHdT99hWyEvMluXbVJBJH/Te7D05kN8dK9Lm34vMLJ8haf0Xy3CWRwhs
+c3y0upirBJerRLTOe/IcQqTpMCBUKfei0Pr1QlR/HsPDn3LCuy2Oztb9B4lTXfgKkXvggHsYbTK
Z8R7+rowcx1zPDORM3tvbdmlxLW1GaOkt+SfWvQ6jzMpPksgRid/W9oNjsDwNsRN2URImL3dYfuv
wkrH081moU59qg9pOadntyQQC1upd85d976JNRF9dukdq3qtTmAZU7hlTckbscxn7Anb05Z34Jud
UiUxg6t4j4n3vOOVsD8b0n72uviTvzTzY9olVaRitjjd9UlEClcalUv+lMITZqihjo6neH98f72s
eQPyWizVva6nLqw6fbIZZ58q7HXHmSXq6q8l2VYsT/Zdo/z6CO733eubV0eslySBMPIM91y1JaSN
oB/+mMeLeE+xG+37ovQPruOUn8xRcXANcNKnKq/OZi3HC5gAmhDHXaLMtNq3Avv4nYdeltI2CwtG
B1FNHJ0kCgi9Uhu2uCL3SZvkR8vIkHXUJC2VosVYqQcAgGVcLRE0Cbxs6ojiiWOabBAo+WXHzVHv
4STFZbSmn01ngvX0CarVbAbaK6Ai7zm33BD913pGT4AP0U+W12lIlnuviuejP3rbMxLLYrdlMZCU
b1bPLcPFM90I1i5Jy+bLWkw5SRzjMl2WUhAk45veL7nY8dvUa4yuG0spiHTcat78jUgpii8+V1mx
Rk1WgxqktRHpytI7F0PaKSc27VSmynoyM5nd21UPUL7Rzovd1x4ewQbS78UMnxxkTYWVGiASuYMp
L6vsnXdTzwvn2daDGi7uZdxW6k5WvRTotjL4BNfxv7ex7+DzNJPvgITMEPkNirLb/CljCS9ZBEb3
7A3vNyjos4hRZQUkEQ5ftlhab6Ab2Rf0adsD2Ia9S/zYIB/Xz3+mhmM+r4Qfnea4Ll7jPE530AKs
9yQ/BbbfqBdXmOKQjq0bkjaZPk8J9HnYOGNxHuj7/oWbenqpuF4hZtb4ofVb10U7UZTHcsidnUGE
4XksbXtPkSqsQu9V4rEo1vkLMIu8g7Iqdl5NwAiPvNM/wBg4L+XIAm7Uq37RtfEt7zti1TvuTwKF
zqR29tA5bveQtIv54ZJJsmNzRoFR1YPgTswMhEGkmwwtEZS9xjoIPDM943xjALTmsYsKmkr2WweQ
0eT+HDa+Zf6yci++oNAhHxvnZsdeG4/po2Q4wHq8xOey5j2cu5Y29oVVn9UZtAA2ynqe6z5+zn2/
3iUIAV6rOHvhdmXmcdmluX5xPpZKwaWl+tLrYvkk53Q7rgNeAscoUFtbjLURM7L+7OfNChhtxOn7
5BC9GVBmPgM7gG/j2IIXMois3SthO5fekttH1WTy4KWwd/1QknbJyhliNeW6gut7AQ0jdcxVN3Xf
DXtvxNj/QlyzhnQWuy8bjsrTtI4FPrW1x0ad+edGzxJMAyaGV7UNBgeBPCmdClxhlQZBmcDmPJYw
2OVyjxHgqdzMAWXcMO1HP/b2qMmYOZPMOFRQNy/9RHRRMvXuUTiElIY9MYkuS+Xq/drIVeKm2KpP
GjU5s2Bv77NCkrNABex9l4/dgxP3+pxiIWWFRygYaOV4/MrNnxw4xt1EU9qwkwR1GoFbFJxB/xOt
WJ7fInf26TS7Zlh49U+3rePd4sbFl2JYEygUJMOfZAH/QR/A9DhVcU6gTD/d4woXKJEqxLB6IpMs
dfLqr5jk/5eF8NK51SP/50r4y8/uo/j4FwX8X1/ylwReqT8oEUbebQrP88gUQFb/Nwm884cHqewJ
aboW5OxN6f4fEnjrDyU8U/mQEaj1yHD9uwje+wPQngHENy3+LmVJ+d9RwVvydxk8m510TVdYQiA+
t+VvdhQixIxZa1PvbOo6JGKfORgRMmZhiir/WuWc7rEYrYu0t/ooSns41SXjEtGafnOXamP47MyO
QBblpfm7bLrZDYWo6hNLPgF80Lqewhc2VBzwk/eA4w831oRIL0OE0dbfnc0dQWaU351HIccuHEk4
RffGmwGXtKVS7wZIIsLb8HbA9DmCqkgEaz+qxiXdxps8aUOi5t0cDAWMe7AyYFYXMAD1SZCOpOG5
0+XqbiK+bH3bjWcvFfJzu83WZyo4vFfEAvNDvQ1NSsx8j++xEskZ+SlzWqbTHk9vMfpcWXq77yvC
rIPCEIhnJqdypjNLRSrI9o074yxxqr4IyCF3D8qZkeO7bkAP6Kf9PJgxnFeRA3keP6QKn9rOTTea
bhBtwqz07VzMD3IqVX+1pMOIa8UO9FRTa0cFaW4SfDKqpBNhlpcNmx09ttZIU/JO0Hl4rddcuMca
0MUJJaGmqBMAsl7mzSptMBQS4vbDsBRDWGUDmg4E7sRP4LzV37VBqNxpxS6DXK3XfAOYGe9dZH3+
oHFPH/lknFdB+ORxjeP1Pq5X/9GapwobqZ93y67v0d9Ytg3gvuUgjAeZdPrcdDhEQ2fqljfRaPWk
WyG/iwUJ+m6UowsvMi78arzE20q6ONGQjG6P5mDMxs8eg8C0nwuH/F5PlGKEsFPtJS/H6sVBazEQ
7dm2JNIMpjGfnAU0JESvtaBm4TvA6Iup3I2jbT8jLq2P1E5mT32JHiOYqHH4boqUS4aQxpW8at+a
7/NiSi8+qaxRQrLST6dKWUjjzUVTF0/+wq8g3vyTMxk52n70T3E0qhneujLl11aN9hiU+Np1OG9+
uYSydBpnPwsL9dcKiRGTpwXwFgGdbWDk04jbnd6xjlAx2Z97b4OpdxqPvaL1msyF6O7GX9LcFgLn
N7eK2UUAIsOSW2uCbbppmvHZ5HukD/ET+nZSTZsVBYFe+MGCOfU7M1jJ9cjIWRq6awvU/uPmQxAn
r8R2SSMww4Es8hqlB0E3UOK80eUL6I8X9Wr0QPOhEpDUB73T5W8Nuwyx18Sijd2smIElGgVhkQZC
SPKxYCLPjwIl3RuZ0+LgVOu2UxQfX3HwkxqQYqVnGYxbqmhmsOgV6hYBKVvjWzejt5p6+2i604yI
nC7x/OyA/7wkab4bin6dkA4yk55KRijYo9y9E+NN5jQwXM18AzslmS02suYb+rjtak3m5Idg8USM
oz/W65vrEHEVtus6iSSwmf/0fiI5tsM5PeWY7spcZ99iNJHP81jJb7rAqRER+9Gmp3klmvUhI0Vy
DU1emXHvu40U0ezhjsDr4g+2dyICadyAIsZ1uzMMI38Dq1UQXfYA7Dkuzjrjnk6tUR2NYeWYD2Ji
vY0gIRFiD7zZftRLc6nAF3ek90Tw1m0geJPCxh2dULkuP23wP93GR1XZjACO5dI89tY0kLLU6L+c
x/+nr+07NuG6r38NvxvY/sXz9n+Ty02Y+LFufWz/+f0e/SzS7F+u979/0T9ueNvnDpUeb/rt33+/
4eUfxAzjWOOmtmzP8rAm/+2GtzwufxxfPlYIUnqk9Q+bG3/k8En7vpC2afI3Wv+dG96/uVX/2ecm
PEtZvuOYki5B4v5+My1nlUsEu0/4X9aR10Y0czu8jlMyv6fTMD0Qh/86Gp3xXNkDmgpUk80FcxS5
vbQwaIIX8uILMrzpA8QjO8XaH3ekg7jA9P4YEJwzMNJm7tMixfLMX4+WJ5+bx4Qos5+5lN9mzDrM
5pjV2py9X9ZO/dj4c/zaQtXdRCn9Z7t2SgQZUuMbWIFSYq0f1xqxXV1MYAyI6RZbzm92LgVGLk7U
JPUJONBD/VLX/jshUk4I7kNmisY7JA1jPgC1ghxbVhb1PRjyuLYvTC7prY6iDuxm8J+bxdDROA7t
i1M6xq7HM7LDBYikqcOIQlYz+K7w589YyAmWZn35RUZchXIpSb95smwRzvTDt7Hy+ld09CVnVUwG
MAOWj3/GVlnEZcgygYDC/IpyDV7AccedaD3/OgObIGjfyKwJ+5boabtk1w8K33UySLhJfEHBDbob
NxwgHr17NQeWe+cOQIUw3dp784yiv6StCVpue0gwKA6tx7/VtPz/I+HfGV+VL3Gp/ufnwfVD9+nH
j/nnz+ZfToW/vu5vR4Lzh2kRbuErXmGPt5yp+m9Dv/WHAEyQwvFcz/a9WwHnfwz9JkO/i73VVo6N
hODWPMeMfXO+MvRL07T4E5+X2ZH/Pevrn41Y/zgSpP/niaSUMKW0PHaJ31zi7t9LbeSMZaPsD/5M
OHtSdl/hRW8Z9yLSEto070aqTZMxdJV4S2MprnU/vRMX/gVq5l5223pY0mk8Du3wmCcVgczSzKKa
yRTxU++EnVu8D94Nu/X1O+ARV/56tn1J7ct4E+Sj3yPs7990Lt2s/7/9cJ5ts9GAk+If/r2E9B89
Q0uZRyZ3sY5/gUc+in9bN/T7d3L4JDn0OcBvZ7jj/5ZwkBidqaZb7RABlhgr4DSpHlqHOjIxmP3T
I/b41//+//gnt/KfNZ7/+KlwKztSOebtX9wwzp/XxT9nhKwym0tjbo0IA8V3YuBUiEwM3L9inCFq
P57oMynkpKGI8WSqCQ+NkA6UIbbSQ4zU97iNzcHJ1Bf+q9eqKu8M19oi1+3eE2O+1FJ9WGnkMOZE
xF5+6xYqgxtYxGCpWuJJk45Iqmzex7Y4l/bYn+w+7cNhAsd0MDnQHbJ+yGn70rbZV5tI4aDQwg3/
69+B+btPmh8e6YVA3o1jzjV/b5DCpJL+Vd1de96BOM7ALJc2bFLo6To++PV7U8oPg6AGKBJIG/Rf
zlT+KIz053/9P/LnN/rXD0OZpm3Zip3Z8jzzt8SR3zqhERKt0Dzq3Uv6DuFE8Z0OoIsDuYPT9NKN
22uNpwDxrDog0ClwsVlP9ti9EEEcLW57cBL1seXJ13I19/++Wtr63xZ8KT0OIaK2hMKI/3ufYoXG
l+y7Jd0JsZE1PdRnJeZX7pmX1pB3zQBdNtan3Ecw/b/YO7PduLF0S79KvwATmzN5G4w5QqF5sG4I
WbI5z8Pe5NOfj8qsattZ7cQBzk03GqiLQmbKCgeH/Q9rfUtBUGDxqsUcnwxcVzEr9xZq3kiar4um
h+TrGPmN8yBriIq//1L/dnVdhzkHNZJj8SjZvOl4rn9wwdOokflOagZ2y/y+9tJmKwtApDS713KZ
EYREqRWpZP7pkLkAy/91bGascmzP6dh+/2F+xme48Ah++iy/1kzCIdgld/NwHWJAVDjqM1/nRDZX
gL923T/+us930o831PL7HMHdBIrQQ479yw0FkSnz5hwwHc73BSBes1XsEXIUkrvCutejHCPcVFTr
Efpx0BRucuPE04G5y6s7meBb07CjfinyVemXL8u+OepIiEu7hxk1xwlIF/aa0Ffb0E5ufZrqNV3N
SjPns9d3+LOcULFzLxHEseTHhKdv0F6fGGqlAeroYmNZzTlvtGgbTnina5/Bf++hQa3sZl7ZBaZ8
0gfMDcnVN7+/ED+/Yv+8EI4hHIezCh/gr/gbwjByhE9ciHm2NrMVsd6+qNRbZ8U/pG3/h8fEpd7m
UEShwPm7TNx+uv1mBwBCCBDXTF3UDtm30oYaaYFMholmUnB28XOq5L3VzAcQyXfmZHwJPfI5iB57
bWGwsrX+iNx5VYpsDxD4oe/bK1Xlu99/Idbfb82fP+cv8zoB8zYy6ibD0Osslmu8TW4aiLR4oQRF
yIEsdx3XpGDFWow0FTwo1F7m4TW27JmKsZKzdmEWrW2Uasy9mSbjVdu1BSJ6me3t0gt3UeNYR2IQ
sqdBomyqm/5CWgflbT2wl++R9moGErzS5xcjA57WFP6g+BsLQIAEC6A12Etwdg64kKtn1adv4QJe
YQU4vWJpeDJmz1nPVA7koo3M5sOo3YZDE51Kp5q3WZw//f47+/tN5ILBXPowjmk6tV86oKz3KTfM
0l9HdnjpKzwiPfw5092FtbH9/a/S/9Pvouags2Okq9MM/nwbqVRgXzUrf41s0jwOw/zMrtQ81e0U
PcUSZzD+MGaM01UXfY9c7IEVvHnYmxywske7NU+6w0VBh6370z98uF87QddxTdPmqfV529BD/HKL
5+kI8BaDCM1JfpyirQtrbW4e/+EbWN7TP7/LXE8wmBYuv4Mh9S/fQGvAgx2dHKS/TjgIsWr7Cd3d
OrSB0ybxMmcc7mRU1295Yz+mcrq1kUOngtgd1yKOupmhFDVtUmJwVjewDeJzrkGIbUPozL//qP/p
kxJSwKHIbYGf/pcTp0/JFsXSGBIDXPFWIc14TBG9xYyCI4F2AobSFvzdyTP6fzhfqOR//o5cjyrG
cxyiYdAM/vqyGb2in6uoCtdF7T6F0uUVg9vNr7BGG3csrJbs4H/4lfp/+p0O445lOcE5Y/9yXfxi
wpyU2f7ab8IdIz6Ir0mtjjUrCIhllPbF8A6m7xH55luaOG/GbMRBqH0FHRQFsVZVF0+V31PXPOiV
yyD64fcXYxm6/PydeOisPZ8CF7E/aJ7l8/9w/v/vqHnCUxew/i60w22Y8riwGkNdkM35yeImksr4
ntrxcZid165qQQc44Ze2mYm+cKw7htPf0zjeFjiYopGZmpYlN9LJdnWMGtOuEliR1TtkeQ8qS7Qd
IcAj9c3gJlvymIKNWxWqW09qaLaZ3X2bCvEwTNYXdDFrWJ3bsV0QuqHcjCba5d9/A+5yyv/05HiG
Q9uCUcvm2WEl+/M3UCYJyxE9Jp5odB+Mwr6dvWrvlrgu6lrlQe737aYjqqWGzRPoIf+kQnIHeabb
9FF317fyjqEth4EGyDPJLLaeLQe8K1ZeIV7cBlJn4XcS+V17jhC6kWHJy7sB6NiiFVu5RYYbw5Lr
JAzfPJStqCu8+9H0v5Buf6VH5jrLjUObchqkE0gXwSCdEegHpOEa+XdzaYdkPfJBdVFcg80/qzQ9
Z3lmkxZpv419vybHJEKgKHd9D+9Uy3YNPchGIY1eYQyf8aeaxgZdC14uWBRIwKNVX6j1pGdqG1td
AL9EW/GvjoZdv+ORuK5yaDk+0czf/uFS/O1KmJTLPJq0dqyaf30zDE4Zlm7DMAcrfIMxzN2P1b6B
fvyvlNT/6THL/0UzVUvnNv7h617YZD+hw67e4rf2rYv79u3HAcpfP/fnAMUTf/jC8AUjFNsTcL15
Fv49QKH305fW24Pexej03wMUg9mKwT9gq8r4lJ6ZH/prgKLbf7BlZbjimLwBl3bovzNT1ek5f7lD
mM5YlqujYWLoq9Mw/PysYr7y8LVraoPKwRjxaKNtU2PnEOkVW98jao4h6AvO4DVq9LllkDc2NKyR
0E++hj8RGVrqrbISGM4LJb7vX1hOLP9F2RnvSJZ1gSfJPLiICQuUVaHC3M4GEByKlub1rU024LOG
uyu6F5Mlq1uK17zjtZkgpauskmqtLZ0QAjOi8xaAeu2D854dkMsOBStvwcKgufKNgn3vRPvhBrxL
opuyj/TvelrhHFGO4QdNNviHJmu0OyOLNQP57jwWa6guTApWWGiya/SG8iyanGRaOwdHBENHHvte
2N66xQYWXkK0ZeD6PbYcd15mvEDTnvSd1IQaVo1rLLDYEK61IseK94lqrfTMCBU9CMPVGAtEpqJ2
XY0dNiBkVjFhaaRlbVtQcnjHjRazkhzTJL0GzSIwRSnj0WkwQGnCpMSZ8ezmgFgimR2pgwdCyyJk
fCuGLSSSTERQdIQPe9at0esZEw9hDfAG0KX1KR58QEHGtUsHctZbLyZIKaq/dLr2brew5BF6ZtWA
TrewNw6xVj2CTceD0pInz/xpkLTGqL0JYQhXBzuvIfrOxFoi8xGRdZdhC47wD4QyDJwc18gK1obZ
HdigaWorK4eWinLenq8swiy0Y+TqtRMIOVvavrX9FEP7LIfdgDEKtFCrMFnbSQLgzZOGfVMiJcf2
6eF+O3uCindF2hSur2rEnmb3vsXkeQKqAe0gY96fqSIhGMsxhxGhlyz3hvJ4W4PLMFD8zAg11/1o
Ah/rzDgJt1OWjeClp2qhkjDM0DexWzPTs6JasU6HgLpPlWl9rUFHPxY4mgE6tO0HGiJdHbnryGsS
RTiRddOylobsUJEa2YrhEOVdz05gRvnOGeaNBXrF0Dmm4Du+1j4wnj1EHq/YxCrqxnXjG1yxqY2q
I8EHTMGTus3OVCvxbZu4N26ZOY9dNyBx7MNGO7DdjclNk5yGHYFYz16Z6nca1pHX2Z+cEx413vEG
JG2C0TzjPmTmHq8qvCvGA1R411npMHQwg4l6uk9Kc/4o4mK+Gm3RyoBk0Fi/RuXpknFWZTCajZK5
/H4WUXHlp/hX9sqq8MCLdCy+9DijrqHAALnAeQkQHTQGBncMxNYDSmc6K2EUDisG7KTkEGY4dKy+
jO010UkJTI5JA/kwAHoGZhEV1lVb6yTvSkzL+eI8S17JfQRxAnObu12P4J/pNQT3ddXEpB14InzS
ZqJqZxdiX6Gq8gM2O/B84kK2UWipZ3/ksWs6jAWweNoCEWHEc0PT319HFc4ElJPVqRT5+NABYYhX
+ZTzLshJaEioO29asqvQgfukkw4jwJUSsTW0QQGgZd+IxnrUi6w7EfsSvdqZEfubuafBv81UsvDR
zHhklDc1cjsY7FpUrTUTplPPYMshdAxdZD4+JOzhDgrfKRO+vCQ8KHYks5nQdfKP2o5xULT07AFh
V/PToEflezNWo79Fq6uiXcyJU6+LDL6am+MmsNiFXQi/1g6hZbBtQvyXy3tMyeFnjjObeOJ3R+zX
ftEQGoJ+7jiSoDvs1AQXDu+6qIESQXYEvhFyr+JJbLpnSiT3uhyNKvCR672S3uuWj17aaWyRFQ/K
ys98sSYGwrbXjBkd773QJhO6/2zuCBHg9ozpHDXxtR9yIhiNKt2gsm+3Pty4NbIUCiG/KMx1pSf8
SisCkEFTD4ixY/rPa38Je2X37ZcPlRrQhehWPW/wt4R3IDLEAw5KvlHHkNA5GHQkcpNbaXorBros
dOTGSOtGS62drNlImeySjrLHsj9kV5YZzguyTOH30c1iU9M7AKcc2uEmTDBR6x6vOZxqSocwgz2e
abjdcCdiGMVkRmiVfPQRxsy8r3QcSx3ffLKh+nZuc9VokIewRCAYGAjtXgPU4oMYdGR34Ck1DoDZ
hVMRowlsaEmoIA4JYA+ygorEQY1vZT6suESdFu8lKnpr1g5DqUcHpao6Qa5IxMCi023Dbd/Y/p5Q
ieQDu1jzjL6hutXGHsc8Lvb5PUO32K4q18Yaq9IBZAC/oi9wcqakrpRWlu07O2cFmkDaBNXkzAZm
eljqN2GJGx72fZHiTpgnCoTWNN885Ndp4OGxfpgwn19VopYgETKFfdhauI6IeU1/NeKtuqALTu5M
Lx6f5FT5x2xC7LAVmjajaBGexGMzdONV5s/TwzgLr13LNOM4IlEN965yBu+bK61pX5iRfiGIEnd1
pUnUtOSfS+TwGGcqdFOut9ITFQO1m1IYNNaQ1v7N5Dm4urF/xDjFWv+LY0/2LXSFU8OcSDEDLu6G
wk9IHZ37mOGonmASJZMnBIS0T5OcTmNQX9Mab15S886EhpeZrzbK/TyIGPs898lgfu9qiMqxpaq3
TJuJO6qaMTsIBReHdwxW8iRK7ycrHQJMBqRSTG2BM0AZyR3aRfeoN64wdqOJgqXAD7nO85SRJFE7
SdAQO74a5shHYo3EJ3BBnK4AeRDf0cywRkVkOHdWrhXZK9Es0Zl9CXymCq0q6ujB5x2XoJaupYmw
kg+9S8FJIQDTDUzjcSRPWiwjomIxxG0Qok8uBNbEvYyN1r6PuRV9YOCIv8Td9KDpHKzknqFshoUB
qyJRNSSW2MEN67juQgfhXQS2wZyN8WCVvfO10SC37uAgGSRRpulBtyZ7h77Mw1fATNjOEv0hd3Cm
2DrKvIuZNuN32uhSUhtkRgFpMAbDE6cSfCddVQb93KuxOuuy0vcVgvOvkRH5H9IivOCJeKsy2TmV
Xn00tinaWxkaCHiNlKnRER9o1J8TX+drjMgYxX81hvUHriFiY32LEKtDKHKLkG3KOQJJ9Krwj2WJ
RLoRHiqnJNOKe1A2lXmoFLafO/IT7wgOyKqj3TbjIrlm6oMkpiTpeI6vdPDtGMSmDgmuavtdG3Nk
9Xlf1EyEcF8GRhPymFCIkzoNDONQIBw7limQjxDh+TVT9VjCkZIg6xRESkLJ8o0v8oiznBrko7VM
9WiXbrxBuWWsXZIQqaIr70nTyhCP4CS8/uChaijfppI8VrZkmf8wQXH5GMYG61BktZjn/a55GhSZ
wKlJfvbRzKb83BmVSxsOZOkZgb7+5FCrXbrejnZ+PkbWGqmkU+zswrEIDTAwT6mprpvAzGrrnQMy
X3NkebhcPM187sPuzWibMA7UmEOHi4ysJo+oaZ6hy2Ds1n1IdgGZhRQcWjKVT000RA9k+ng1tRtI
IvpZ+17CwrA97uTGeJkl7nW/IU3rHZkzTl7N4m0MTkJRk7/pCk7iMMX3aWZAymDbZa16ZZv+sVm2
03sx6+N8zvQ8m7ZFDvj0klTAcGGyari1NGsARmrUHW07/6/AWclZEgdCL71omzRDve3ooBU6f69/
6OAW2EFiRMZ9ghs1WRsWR3lMnMhdiwHsjnt/3s/jbOgYljjm1+U8DDcJ3tkAgwuSsxzttAFEEbWJ
9c1ird0RjdSyoWq91D50aTfFz2RnYE3xjRpOXFGTg4n1TJBAajbDjSXVWivSGkPGACHXidVRMG/b
sMMn5qkjcXOQCXFKOEvCALJn66/MGPNLo/z+TmrhvIuQk7zUfLeHEnUJrAUIhAS9afi52EZYSbIR
TowOEKWg9gWV66AdU60mARfrjPsozRH9WJlaLNGKdqzeRe65CkzkGF8ia2nOKhdI2WJ+UfcJMLUc
eIGfcgnt+QvwFflKtBHoYWzKQicSuiAnzzLrbmeZrXpFTIMvINEz6xp+jnigwOUNm4I13BLNER9D
s1LfirCZts7k5odWD+cEDkhlXdE0eCEp3LXxNcVHCTmMdmZNkTG7AYGk6HHhFahX5PMhU2owPgZX
EUhdTggBLkNIoisXnxaEmFKQkijnbPzK4+ucsQEQuhLrgtMdrWy0D+M4r9djnG+laFxyRkO7uDYE
xdAmbPBLHTsfhcGWjliQjgOoma6K9sYJaHJh1FrYOm0g0E0w98Oy2Y2IK0VcicCRRsl3pseWBaGF
1s4ETpUQSf0xNq19GONB/1KoEnljbGOorXnNz4aJW86eHN41yIg2bYk0icl4xBqroE0PGP/h6yvA
jL1agEavI3e0d47exk9t4uX47ac6zphN5s7t3PZVd4Rjiciz80MnXIURoBuvUKh+BxmlFJRw7gwA
jaW69mog9gGpPv5HAhf93uyix9j328XqAly1KjFdF/XsbpEQiR3x095x6gAakXJQHsiSrW/csRHr
unWcdsPZnGNkTYburg2lvjLbwSXsuEy697SPod75BhPDvduTWkjL3n/U/TxeqzYlLxzLLlpFuwLM
CNBpEm9WL8U65zp8J79xvhtjDniqUedsYfK+TeuIBL04lFfVOJ8i17d7Mt4g5bOLHPeZ5bx3AwVP
5uCwBsMjTzKmSwKku+vSnIp3dMzneY4/uN0U3zFC18FJPnJSmg9daBbrPMGmVaRUyNiFLhZewGNh
d3ygsapvSKbiAO3b6JWaogA+Crv13srehGHbm4T7iEK/NNcJ/uONblX2IStFfR/Wvdi1HuYxXpzr
qurMnZ6U7gf0RB2OWGsdzDrD+uhhIgJhnq5rVZfbtGjN+1bXpxMUbvGVnLPy5IyGfBvaGtoFVrhi
6+O2xDCbVWRy85KU7zOiZihBmd4EXWh7sMobiq7G4O8ejFJr3uwM6N6GDaN9ngaz3ZPLom8yBuG7
NK3lvg4n2v2xzm7Iz50ujg38bmXLfDpLxfh15cl+/jalGH0YGJV1YEPzfphsh/2fgWnS6aBdxCr3
ENRkYm1QyX/LgfLtWrSsy2HyAsZ0AJZR2cNV5/AS7UnJAarCjoBNQOVH+16fdk3uZbuyjxXz4Zrh
R+bU/SPlbsOAYgKDqj57DpDb66azs++eGfsHu63mOzml8xc9j5w7DIIDfsMYIGJjwFZnF0owemLz
umRys7MrotOMqN6RgOdcD5ml8xcCRAJRmVCqnaEV1tYcqjCI3N4+jzn96eBazYtsxcnVJ0g+wnbt
O5Jd+z1+R3VLziuDIxEXXpCV2UuTm3gPRQEAcWjbi8RLu0GTbGxrexmfdXKNLY2csWGyb2DzORvb
TZJjLQxEu9OwN5V78SjzAqtxrdOEFZpCyp/Xhs1EujR6IDntiG2hi7TNyGG8dXxBeedExZkXVbrh
kfGeS61ZxNdY0AKG2cnK0KMHPFT+uEvEqB4cR3VbyUqb+4PU52svciH7RqkzXclckxveuNOqMst8
O/VRc5yJ0DNOSk/rfsM07TCFcfdFSz3xYDtND7OlmbtHgAlUe1FmwnFOxY4xvuCqgkSpHa4/pMie
VVqeRsdGScoQCZhxtG2bOgfaxldV5m/A3ZJAVezrHPQH30hhDXe8H6o7bBKScijULthcvY0Vyuc+
5WCFPFSuI7Si1c5W9gjVCfVnlbuX2obuuOppB9guxLQ3q1DayUlkbXlwRet9E715Q7SsDDrU8RRk
4XTjWJOzUYikA51MhoUpxfxIq3Yx/umDo2ZmU1M1O08OK5EvdqYFAlASHeaQnNymr3d4RYFQEs6U
XEJlT1+RPJiPmJ3Fd9kOGv2Ab98MMExSx577S61NmbyKR5Z8/Fnxvpjz9waxEVBWEx8zpff0HfwO
BL7ONvZQ4JpNKwpSOURGzvyw7IA8oJ6raepiKqnZjgzKYRcraJYmsww8mpZbstcICLSxnqBE+pyV
/08vDP6fk2qzkHFYWf6fdZkPb0WS/6/L28fw41bhrx/791YBYQcLNoMZD9rLn+JIDJ2Fg+OYgoit
n7xY5h+WL1hFCJSJOIJsVgH/lmWyvDX4KVYBLpUxu4j/RiLJ39bRvmmwnCdWjt9miF/Xfy1l9+Ao
DvYkqm/0kIF6pjWvQKqjoKXOYgl+tEBM70lCiP9h9cgG5Jd9xrJkIanF4DthasVf9Od9BmJlAd2Y
B0nPtXkf9k4UaIu1plVgZvoB78ecp8Y5gU/E1Fkk577SxTtRBdHGrxVMrbi3WC2Svohr0oYyr2ZM
vmU7q0+Q1bFpfTgqbedjau+8Na85NmpwrKOJw5gRaFu7ZIgKO7uqC49OHpGZGeN8QezCH0hOec1u
QOrXVgV4EDtNB0GywLydALSsiLveLr1xzwqiMy8uc58HnSkchtDCnG/RXhhnw+u0BxfoHgDcyr+W
ZoSmzTWtqygT5S7RtOkxTRpr07hhviJZBQpk7gw7YxL2CWYZjnFqF/izjDgD1Woar3Zwy9nechvj
vISwkqCoJQNMYA5/89TgLOENi7JrFyW4TVqqdzYz8eS9eqGVmkFGnuwdzsGoDgh3pdgi16FjYjbt
pzHtzn3UanuZNXFxyyBnpHqfxJfS6jqG57ZWToGYS34UB5N8AXUeE3DryeKe1O1n0i7tDRGMzNyg
q3sQSXyqhn2UtsD/Wni+aaO9OoPwcdRYAO5zzFirfOjgwWdZylvVSQnX3M+FAgNUNzMXK8tOo6eK
XY4fb2fQfg9B2njVuUStfIhzVezNMZYPkVmlOz8EwpC0A7yEzsOCPXC5Oz0Tb3mJgt8p644sB8y1
uwxmdcGk9+xnSbTN6NiuTHbCFZIS0HNUkHA8O2+v91268XlybOLPB/08JTKug8IuXNILZQiZS8u5
/G0xMxytrQMnqlqV4Ci2I5OTtdMP3bMT6d4zeaPiivBi7umIAGudfW633OeQ3/KgEb51ZU6t/zAy
flviQfo153RHh4gewMbsaK+Q0uKZn7zuwTXm3F8hns3uEX2CHxoXwWoVQBPrAFJVjQ5YAin1a+oN
pr6tHQ8KQD6IsoEKRNW7iXEJoySYlwgwUxo43ookmfH1u+bX0gr7u4VtG6/ctM93E8Sse2mG7rc5
Mtp7V3b+Y993Bl7HeNBe08RQ52QorAczY1W5VpVq3IsVs5haEJZoisLRDuVWB1ewY92KQIDocQAw
Kmsi4g6ySH6tJ5UMsEgM45y2equ/el43sSGwpwDji8fYZ3bSrx2suBuJb2rN6CF/6BLDhgnRHDpC
ikkkkt/nXqshZSn8aNAfvkeVW38kqkv3U2QnV+wS4wP9UsYMoiY+MmrM8UJAAO29ndQ81IyMcY4b
/nsamuFBq5x5rdm5FpSdlHRNXWHvM9GkDWSGrrua6cc2E1kCz8h4mk0+SP0ioMe/hfNYbgdZJd8X
Uf0GAlJ5R5aCd19JX38jFNW50YcZZfuSTjMpr3sk5r3a5WMnzr2Kipc4tZsn8MDmI1IN6xB3ktFg
PfUwTLNlYjgMmYTV0OWAxcpcdQFSY719z+l8olNsthH0jDT3rEejSipJn9aHL+0c7sJ0ir+Hoem4
ewtX17yBmFPNezr7mdFLkqKnBAnhTTG1g2/PxPKmA05KYlfwDK5sNTmsrjQfjXEKWZk7TUGbDeOJ
F5Lrw5vREt7GtKZYF2OY2umW4HqEGrgzcUS6jeuf+3oqjrM56d22sTLkFWBbvEPYePqrrdn+DdCR
8dAIN3zuTGaP61Sjf1mj2Ei0TRiOPDZjooVvMGpzUFW9T+r9ZMunIS17YkCMFi1VwzD6Vm/SvAt0
ljmbkJXsW0lY6qVv4844Uqz7m1GbvkySdKj1FPHFlCS23peDWX9jgjseiMOLN9I1RhwzAx4bPL1T
37ANKMoXbv452hQz1sdAThnAqizs6Z4Gu5ngINFpyqCgLOyCAVcCAk5Z619UPZrrsY8zfVvEgiRh
Z2j6L1opO4s0o9p6xrUpXpqEEbIAqfCeDL0RmNaMVqqf2y2jxO5aKsf/6DBBXwRDoRQ2ZI8rWYfi
OAf5HFa7KVKjHfCfJaemb+YqiGrXfIA96mDMtHjoV5XVA1RIWz5Akc1ZREcNxx9wUsqoJMrSQiMC
N6tr3pmkn0HnAIRMqhdDSYYKNiE8KBtmtfUyjBO7wqk8SNbLuYMBpXri6AmZlaepC9lAjfVjlvQz
kCGghFwyMA0peB8LOMMZOBYHHnlemIwatz+yGyMAJ49NrQ+KCmxME3ZYPiwehxobdcBi3L6Boh7H
G79wzet0HJ2LbmEMj1AdnIuplbxN5/hERIrcxRm8GrB3TloGaL2ZIfv4CO40LBQ4wcRisbZGKZYH
nf5l7ltQJcL3PlKU3BHzSJLeVxW4gu8tc9nrec7MKhC90radiKiE/KqPXwprtNaeqPpbjdwzs3fU
DdpK/44FR/Sk93a6qhZ/b8hSuSCoB343ya12EOMyP3dxFJMR3PHYGo5mPeZsH+D1JxnPTNK6rCwi
2BdwjQVrLmGKFa669sqbY1wQ8IXbkQN5aBi8iQoirGvED6NK5WWca344tprsYlSafpPThFwsphnj
SiL3uFNIIlaT1YsTVonNDBB8gWTdDRoIT0zYekBNtk0EgBwK2HeGiPZaOi0ZDhFwq2X4ZqU1v48f
JJ0rLNxjX8lqN2eOgTm4jrdWbUqyKtPSu2ETzOzJ6djOrTPDMtj/OHV1YlCMs9tnR7GquKmogyiE
vhdMei609yo/eAkrJge6pMnMkkj7lRz5QAcjLqx2ZZAbsUq6of2G39Xrd4Te9++DR6zntuiXLd3Y
1vXeHQ2B5Iu9J37mnBFhWrisMfLRLjuyhcgBOpSJAyCZJRTVWvZp6ramhnVwPw8BSxRc325kcx7W
ixm8X2zhshH5xv30ii+lirNiuIqHXHielWzSxVoOUtG9tRiCPekzJWXQAIM6Rp4J7LqH+ZFs2sWm
3hDfozb6p3u9IAjvpunq+ZKJdtzDILUe0sXwLgwjxdSLCV51ix9efXrjMw+m8CFUiZXxoR32MSMv
8Dpg00SPz5ap/eZ/+uwZYeO5xyE13dt/OvE7BbuknBaHPjGC7XnQ/LjbTFFVnePFzN9/+vqjT48/
1wW/Pz5hvP/6JwcggfLRndtPPgB5NbACSKiHG4DcZpw3VqSBo4nwvZfr9JMzULNadVbpJ38goyC2
t/aCJRg/CQUsdyOxSUfDGI++0xDXrS9YA6/K/eMwurlH2SMUFbAD9V2fLIz8IYApqjU4CfUsjWeC
sZ1nHup0POpWa56Kha0wf2IWxoW4MNXhWJ6wWgNiwBbUSOY7eD3WXuK3lKyM2E5sh7U3/M+JYvs9
u1CEBWXURholwAeDzmHc9p8gCK4JUIgY7sBzDsboCZ0j05f5EyBh9zI65ARDbSE6ad+EnobH7BM4
IThVDpOSvIqrhUhhygVOwUqqf+Zq11eWPjOVmxeOhb0QLcIuN04YC2AY2WF/xsoA+sL+xGDwV99M
fIghUI6lLvVo5xAo4yjsQBB0hDSyZLEfemE07PN+6Fxv/tR8/mj3+ox8/FEKSpfpY3lAr02nirfs
F7EuO2T2/gmp6qEu8kPVR1/LpLxv9PrF9It7OMkcrG7s429NXjsUVbe///2LieDXX48fxcOIowts
br+YDLKwg6cpNYZOIVRVkKXlmS8/P/3+t/zNR7X8LRdjtInAjv/9aqCbupnR6mwNmzHq6QlHxmiB
q5kaoPV4xseVQbc2VobPML/keDLWBustKG9jTgylmuzDpJXD2amL/i5LXP9q+cpw2grjosl6ejEM
GoWEoXRJCGXq9jdse6rwT1H9/5/H/JNP1sHYyugTE8FvZjLf8rcyeivffhzJ4OT510/+NZbR//hU
ZaL95s8zxDKc+Evs6f5hmDbQI5LFFq+lwXPwL7es/wcVA/QapuF48ISHAvOvsQxiz8Vz6xOIhhRU
MAj/b41l/uagdxDo6zhlXR37vGkZv/gEksxLOjNFJt2J/s5ZWLbFQrWFMAUYQivkN3JQoRY6vr/H
1L3kI+Tddoxh43JSmFu/Skvo5dyXKctyad92CAi2+hyWh36h7MYLb9ddyLsm4+ADpxCBWzCzP9qF
0DvnCjiyq+r+a/eJ8E1ZNJP0CZTyhZ4zfuoX2m/zJ/j3TwjwwgMm/c87JFL2akW36yPJw5kCjEZC
2BkWnjBCv/eQdTqvOO9ESTm+MF8dA5Y6kIj5OqASMwe29q3jJVsSYaEWF63VHmiK08eycKEal8Dv
ZsIAFtqxhiwTmKAfFdeZWnjIrDrrco1Ix74aQi8pd4pZ2mO5YJR9ZALM7d2kP9R+Gj6IfiEuGyJb
wj7ZzZLr1spqNXzymfvYTK57ToCn9pPfTL4QdH2mH6tRThd90sc97aB8r0RRvGrmQoHu8q677jOl
xWu5YKIBatlPoZDmuTdN7SHOXPGiVQtZmhXMeJiaUWLPjMpNC4f1w/ukUUeOWj54bhK+x2cfYkYS
lcfqZuFYi0+kNZe5/MqOkv1zLCiRqJYMPqTnsws3aSgzkerXRuFTfGefzOwqjXI6LrMPItshUZX6
q1xNgLatOPTWYyePLIEFwQ4Ljhtw991AYC18nIhkKyb9lNpkmoGEWWjeBNCnhEhCVeGGGogyczya
AqcYrU2Uu+46brEgLXzwTBAB48+ts3dBoz7VC0d8xmxx0he2uEbaRFB4qrl2fS/aVUU1MfdDVBH7
hP/krN72zlCIE1c0PBjg8bfFnInXZkGgxxghbthVpFdTyo3aVtL92mel2gpTQYyvDIbrpffQNDKQ
flsFIdk7N8zlJbVuWz/WJu/iaPCst0QfplOy0NkjE62MQ5Vjum33LET9pSDKeKW7AJC4TE+dvzDd
y0++O0vI5L5Qct+q9KY2dBJV7aNTb/HgUXaU/0Xdee1Yjlzb9oso0Af5coC7vcvcaasy84VIUxUk
g0Hvv/4OVp8jtRGkq5cD3BdBQqtq9zYkY80155j0dgC51yucCB2xtrak9Mq2SRoAWUyeuA7EDWty
/yFUnp8fmDDSE52T0UtDQvDJbdMCxqhjOcGe/1OSrMrRoUctqbPpkbUmJQ4LTx9TFrVfHO2jFfoU
zSshAV+aB3z3G7Fb99ajdfdg1RXDMuFNVsNiSH6aC+W/HjRTHXv+5sP81QvQdVQEiNziyPyrN0D6
GEuB8PrTHXjd+J7Bwt9Qg0ouAh+VvCvHSjI9L60FY7A0eg1LsQEKdv9aJoQkk4Q8y2Tm3q2SDgMZ
BoSZv4nyhKzvrAd4IFQrzEQcVlHp9U9BiG+602I4+MM4fYRLd8PU2kV9sP3U/eD3nfyM/Z6oKWXH
YDDZqsXvRFBclLORvl7g10JcU9bU28nUmOYwotItQV1ztR/k0jihvSjel0sNRUxT2VO/VFNES0mF
WuoqaqOy+ZfUuX8X/+q1oBfF2pp1K919Z3byOg+pdd8vtRjpQHMGsGD9mfIT5ltdSjRQ6tpLpkiS
RdZMm/FStmGhwdySdKeBI6txFWIujcyzH+GBZlCVZypo0ov1q8Ej8DxrQqO1rCfD8wfgf1D3oI1Y
9HaoVt8HlPA+uPZIW0wJZyU+cRoWzzLTprPuyqn+pK5yXkOrAjyOHZQcrcfatAtOacWSnrGsgFsV
jn29xXik9okeqmarkiA+EXCND0OY35opzb4ry/CMTenQDBOHrXWgk0Hf+2k7rD0u3G1j6mTPNioB
dDvnjw2m7BXEBpSWJLxigpc3WLmDT+WEyc0gI6CedjEjvbf9mfJcGyuAZ34oSsxu+t4bwRVELcRX
TxCunvgObelforCi0xEeOZV2TX4GrUtzFovjAR6i/mBBV/wqAz04bu7TBVntqMD4DsGrpFYlj4+W
oq2qgiRgpKr/covkR9qUYus3dHiy9cWDWaCcs0w8JYZb7b3Oc4+4CK9gcql/iXzj3jJycZhmmR+l
EZ1MWXvMq/5oAoUyppepXGTRyJK0iUQubctSGuW2du0Nc8XTrMW40x6DTRGXL5k52ccMTtjGr5OP
RcrKTozDeE/KEBYnVj50PWQ4EmSR2z9YvZvejL1RIrCU7W1t22cReG/dWB5QD8pVjjdohWzQrfU0
WkxN9sVy2xnnDuQxbH01+87VgKlmU4guPdtOHgQrZg4siQuccZ/EJv+1g3azx015qlVEs3HkYR/d
zDFH8I0VtHCMUQxLZPrsHZo51cHsIF5p1GjCNUIftUxT2+/z2KpgeTlG9VC1Wb2fK/Adqxp67lr0
Y3fWsVR6Z6OnbJppphq1M5wfmqVssuURv7S+ly1YedMgRlYO4IDXRtnwHEjspqC2x24oyGXb43/m
RdNdhd8OsLAIE5c53heA3Eg67NDXmWPfFAVMv4mtALeqKX1yQN7juw7x4hFQG8ZvURR/hfzcX2fP
33DsufGWenbVVOk7N8TqIfGZn4vWA+25bJp4U0T2zFTa90ic86shKzIdIhtPKXbUYWVm2BFM+LZr
J6yHG2pfvI/GVtGb5IVXEifhNggdjKHaELvaKevnQvT5QUKYy9B8Tn6tu7syjeQ35VGqqbFX/XRM
kb0MvVvubDodcnh/uU4OGQuYw5DD/cKYUYPULmmQXkENzu94Bgz7DoTmbeAF88nmQPYtAb16Ghtj
PFWsRzZOVZlHmnlaHkjCuyBIA7sP7IRy2ZrPykNW/LQrzzwEsm02jjdHu0ZXtBxoy9ur2NvPrXqm
GHFeteSKhIftqXTqjd0sZnEiIyQxQVcHutt2Q/3DcYn7oCSTJxrp2GLIwf6ab3BE6o3rGxvfnu4N
ysgoVx3coyonCEfUur573M9oM+BI4TX0s28hq+3KNil4wpB4TesguPeB7l9khGdEs7ehyRvLBpYb
LBUZdVE9Fnlaauxb2Xdn255+WhZLcfYIkUk1D6d93DbNFsQjpGb8hf0tOQfo4nKozu0s470xA2du
Bp4qcOv6pzaq2+fJXXCtyQgD0BpvzYWVJ+ANbOD2pWwy6KBsBlADKjJ89LQy3DncyuK144yv/KH+
gjVu/iAdM26j1Ex3bizzCxBC5zufN05J1+9ytS7LROzwcNH/KOkCzBM3PolIiPuy51keseCErxSp
q00xzO0UzdG9aVnBRZu5uiw1VjYuYeXdcYWiViK/EbN0TH1Pfbv3YzaRpqmSpzZ+tK1br7P9U1dn
3g/8beGN3+H1Y4OVPOKKrc4ekBY461WevBqWbm+4bWbHCh1z01TikyB1SAAUn6jEDn3bEqF7dd0W
9zEl1ojPPOg5FzlpeVNOlab+I6FYodASfH7slRN3jxYvyjzmOzJM3QEqvn80PDE9kFNoZijc3alI
xNKVG+YnSgOnb4PT5NdRxy8AYaI7GFTqdTCD6uAICi0m5exxzinUK+gcIvGtLcseROfYKm5rkfKk
KyO5pc/bwozPzbkL/YS+WOV9Nxll+JgDfa06bnicH4uXmLXRW5hn6kREgx9w3biXwGpLeuwl3X4Q
P2V8L20WQLrzO1D18/gJf0Kt/YTnXoRxa4MJo8dnynN8FEKeC1E9+20vvwdGxCkTMCOb4v61ruVx
lmrPmrU8Wjp7ZyvW3/FEHVF3OfJuTA+wAbmfjWkSx2HMalcBfZ5JMnRP9DBoYO2UifQI30foPNZJ
jF1Glx1mq1Gr6DDE9FebJTfIiu4lkX0NvRl+yaB0jiltFwFHWLqMhqz+nGhPPmc9GbSVC5hjZw+F
sY/0QPFOwdSXzwMfHzzVq+EF7N9iVd8BJ6QxgoKYD2DSFQE8qz+mdjvgs0sx29GtvU+q0Di0Ympv
dGji+JLJ9BhF0EEhM2bvygpn3gqrfZ3P8SfDmH3svZoujcigMT5sq2eyBcMDHQDQ16EDW6+5KIw3
wovdrkrM8sDmKVQAP7MyXM+jZuhpA+uuJsQOIrMBd61AmfUh1fVBOaG7h+TXZia5PgFezvflUTD6
MuXjwC9r8PcFixf2Vh3b3njtVzxSCs9mJeMX6z4JfoYc+Ps2vIw5zfO4+HCw5fMmTBC6xWCelF+b
Wy30j2oYD8RJngJU6LVv9ckdsSw2KHQbHppAyN3k0sFItU17ZH3fvlZm0b/PvVVvQxH538AfhZBT
i+jT4MxEh1iXI0DXXrjn63HZdPSCEtWsvECb0a8iiDrORp53LEyOtJ1jAPIJIXzilyAAAwZ9CT3l
lsF6Jc+5xYPACPc2HuJVPBQVJTZjEeyiOg0+TeJmFMQvWZ0pi8Rb6Bs+3U/UU34rOSJtIT6Gt+0w
Y9sb6WCc4ig5+LYzvvs5haaYlnK2C91EfNHN53tpGNRFe/N4bzQNGwAg7HigUWy3ZDrn44xS8RDq
sH6XU4Tjvx7Kl5LnG7f4hnTp5NK2pAb2G61tEsdsS39LORkmwqgq7luvJWbUAeD/Yc6yfzJyfxCr
pnebG6pHKPXoJrrg6eYLXrFdVHvR2D8TuqtObhxHmHOnxLkDYGeuh8xJsM5i1ahNmtA3pYETkYIb
+0Qph70z6G946TzFyXUW2V3O5b6K26yg8Ln3biF2zmQnm3naULAx6JWr7eZOiba8crjG0u3IYjrU
KUnSVcVD9EEWmE1WSexlx9LXwV5ZM7ClkjMsYS1agjS0xE3IFHOxpcWyIMubZ980WJNAJliDwZXf
3PRX7XEEtROTc3occvKNXjPMQNKH8lThi3vpZ6d/CjmF3lMTytNkTp1v2h6TU9hb6YcUHc+iaJhv
vdkrHZIIpryQbbVu8oYYRUzeHc8vzX9m2WO/IBBFVKzAovbeu7jhiYc55rv2LYWvTMzjd1dhgiFR
AoaGGI5rVgDui+4MTt/aOgXL9xWOk3kHH7C84TlevkIaLr/1JGCWcBWDAaCf1USO7OoEbvDsCyVO
Qe2x6ep6Vk2GrW/ZoHLESsFAVhgPkv7FEi00MDONr8QC7X3dWDP7MapcXmcrIorQmNRKlUF2psqY
U2eSCsy5HR1KYmlTShtf8tUG7+XStBRTuTQjWu3MiRmc98HGi01FT0GT/6uqCbmZ2qZ80R4ICOqD
tbQ61Uu/E50g1alQDenUfCYpYxBB2Yy/SqFCtRREYb6jLMqxyghAMmIv75rj7dIqlSz9UolL05Rn
EwT1xqV+6peg+b+m/y4v9IlTGopG3Db/9YusKn8US2r+D/+DjpgEl2H3o54efjRd1v6P02z5f/6/
/sP/zuH/G2nXJs/+r1Td/9M07/r3iu5vf+A3MTf0/2bCRoMzSuQRfdZHLf1NzA3Cv/1CrQjscnDT
fv2T/6Ghir9hOfPgmeNQIZ3v/EPMtReUYuiFATQZdFjAa/+JmAvw5A+rDTYaJnAaHtKY3wHqwQnk
n/8OM1LEPERistYEEmay7yYqobXtrMhJ92aB24DmgDm7CxLyCtxHnYCfk5zaxe2QUk0ft6JvcLSZ
AlRP0Vq7nNkPtUN7XUFpJcmEfTGR0Q7Cut/aluX+mKyWFmCG2uTkellHpKojDOeGfXL0cyA5bEbv
3CS378MG67ukL5o+LSO/jDaCUiMjarht9zFw4VDxCU57s7SIw5NUvkkbukyIsqbQvree75yY0Nei
7LrNXA/zmvAkI/3SwTDXQbETdGYSC+3sreMxvBVVeBNJw7rtjUbiBI7fGMOT82Qz4jEq++vZhCBW
eM4X3RHYGvrmM1+6uFWZABJovBl1LZqOackSfg7D4aQSk1Gv8nsSnFZzyq32XYxsckxsv7sUY9Zm
CHnNIPF/RL2wbttq/CLk4+3Mkdyymxq3fiWosZ0/qB47GtBGWh19B1F1phDs4tLe007dSbvWMkhD
ZROV8ekWAUjC0fnK0B8aFxuI8qdDl01kxgbnSYYs1+kABbaucKZodq4QZ9PvWeyN21aIFz81F78T
ET+B2QtpPGG/vA0lZ5KgM/qzNTRsvkn9anTR/ZS4+9HgfsPFeafqku7leWyAo0mklaF0P3C0UHFf
++b97Pj2deo84qy1271p1mnYuv1eftpLRCROR/4GDhF7Stjdz7rujH3WVcFVaynOUE6mn3XYYrN2
E4A0BabPsyr1cKljdTWtMvnpoo+v1cRzhXw3PpKGDLSXZEQ8VPcrTvZgVSRHOxKrlrQoBZmN2rnS
TxQdpiy4UwWoucGfH4K4uEcN3xtyEHezToaj12fJOalaZkgMz/ZdCENnQzjvM/NSrCdG9gb+sb9p
lknCzmaTO3ijHoTovK0oqxRlPqCr0A92TCUD/jMH9QgP/rlV4moBrHiAVNNYFyHYLNM3m1vVJp+M
hFSUixtg12rqjtZGNuCxF2FGCj7tebObrHS57lKmJwKbHXRhpspIU8mapNgqoW/bD4yrmE1SR8MG
6BMnR8byZ9Nck+Fj8VJSPyi3jQgmCUsuTnxKCYtIbKIsGug3Tllns3DIMfjlsqb413AT3R46K+QA
GtuqIcGu3KT8bqgU9AbXc9AyQOlgKaEyi2Bt90FOw0acttMhyOleP0dVnA27YPQyayWp2wseNSNo
cVRY2gqCfQngGuJBIVdAE2ch+VgjZaSNIuxBsPoCrFyh5GAte9PDDO/4k72Ct0d7CWc1kP6RxjD6
VZAg0+uCAgoquTnOUsRQhd6bacvpez5wxYRtSmWprIOJA7+VAB+bxpi9tz2Q1rV7AyQcbTr4ZEhn
SOQFlfFhCWWsalYJDKvyWaUmV0gbcCkkaKkqzfVjk8r2x8Ah0aWxfUCewPxuqTuwFTrdYV/Kgy22
kEbexiRWprOLK20vyfC2W9jsuBsIvM8O5i9Kv/a6i4V19JEpceLXRpfsQqEqIg0agAVmIYsWGEL0
CM1d/BDms7n1SGHiVC3VpiXpxhstY9ERjhhrOPrg6TJUT9+w7TflJ/FNHrrt+5AXHfC1eKxuOlQt
KiqDOT3qkYqZYDkexA3YBR+acyue4nZ8AQ8xbpq8ml4D1BfKhePs3knhYHaJBO2R5+0jnvBi1/dN
8CrtCjKL07rzm2XOX4PfRRu8R/m3yKg3ZZhvDHb0GCP79uzz99bELNh2YrPBp6BBVvQM1qER8Yn2
hJ3Xvhw4jWaYJK5TzUQAjzPq9nIoWxttkd0YeAn2G2fu2t/61h1JosRV+4jXJnMe8EIS+2MFRIcr
8O1zY+dYeaa6NccHL0vC+ZC5ldz0Zqbix0xY8Rcd55a3GhKNdTWo3eSpLugvf6MDqa1Ps8U5nbKZ
pIHCL2M0BzUd1DB+jLRLBitkctJkgfRDEijlvLOiJl2UvP6ubafk6hoUOvfOON4ETnc/qc49Rug4
94FvdvRwUY1jzKagTjAbX5vRK+9Lw8Qs3ePOeWrmjJRwVOvsjqhi8ZHjpznAnxmA3WrBXgwUyLuP
85LJhwWksNvwOrbk91atlQaknRGms0RhF10WhwDEnC5S66h1gp8BMuKlnLrhZxQv9QNQCgR+VgOq
biOMqV7bjo/bTTDrZT+TwMeYlhqxeatwvj0UheV/14OR7pM+scUuJL6SXYBngkXMp3hr5GH9VEhM
IetGDfkPW2Cz6oWBT7uyOzrWXXwbvqfhemP8WyzsIzwQo6DtGQCKoW9oSHefDGqv9CUvx0AdlFW4
Pmgbo8cIbcbBCxFmJ1inTTju0zIq7BNzgvtVGHV/7yu8OmaRZxfKPhLrXLeReM5qy3uboYleCK1z
kxR6ki9+b5j3NkwbvH9TRiH95PSbwKbXIRpCCqekZ51jabdHbNSqJwS9eNO6AZWEZBAYtKCuATXM
BG/APobkkMbYMm6pfqPoEUAL+qQvs7m+0UZS0AIpdY4k01cZexYzxJFhAo3cxhk82qYdO3s3O07j
3dcpeTXdsMTbEU50+i1GpwhAHdjL9BQS+Z0pqe1a7MGJbdQHzCs8/yoZ+Pl979nGdPV8eljvDXPC
/T8WKbVNBh2gKPGOQNspY976ZhgySfOFoaCGJAHFZHtZh568JLnhg/KFnnRv2VEiT0AzPPMypOlM
kj40ygBBo3gIaW5ApEqNqXuIKsLZ3yLchaP2IEBnDKRwvM1trrjkQ+rC1wMmwBsF8G4/tFX4FI2a
QCUnF4riIu77PsCJg+HOzgEr0LiBp2EfeJ7pK+qDPtBWGOx7BuoF1lbQUo1wd2kiN2hZSDjGOXEQ
jtcl9e0DP4i+/iSmB0aKOgmOD455C2eFuuk6egBoqNY12ta29WEbNlnZvwRWV52hz8vnFBL9WjVQ
magg8eWT68lYbjnd5HzDBbmHKajKC6VsZAQd103DA9iMgK8VixmCfxq77Z1tZ+Y1aIRzA3LZeXbx
HlT7LDHQqyHscVvWrQ/lv0xTfQTs4zyzu0/4mpGMCJFMXfc44rJAoZsCSrHsWX7xmONmGdUDc2o/
xI48ZIkZbRc283tp6ZCmAjO7m+kUqIQ17hs2h3D0S3Yh+exdCmT7Td5552r26Oq02yfpJ8paJXl0
HgxvfueBkT5KYQON6cp+X6nKAjpMBuFotXWEvkq240vKnCNY4UXgiczhkPWaBxSJF5xrblKnLCmp
3dlVjkA/QQqv6j213DJi0dGG+6bAzr4axnG+Krep11U7FZ9lM322lUHNYGuhEq0LgqxEz50sjDag
ckgM/244+ydmsj+auf468fwJVeaMXW4WRTse3SJjDel4TX3ChPdvAY7/ZLAiUhX6kKaFIMT0x8Gq
By5bRBGdPGKsF3a8lPBapgpD479+O3/kWC5vZ/l+LZZ7JhMh//OPr2OFht0SBumOM4rde7o84Ukt
MhHIKQBPPQJ8/JH11MOt3Fbbwb95dXv5tP5hjfvt5bHlCaxAgun2z28zGaQyyhr7oFsn5Y6q+vbR
DjDlIu3gmBma7D6ofm2+3elVTQXNbpwm0IOfZk4X7q9jhiXpDF+67YAE7OfxbhRFcfSdiiY5E/QG
IMu5RYo1hiS7NojXCjgAvRclKQVyweHlX3+ef31DTMKmYGQ3F3Kf9yfu5uy4sciKrjzOSUO6qCKM
w86rSBClEc/ZVnAbD5zjf/qieO0wKlkBJ1MfovEfv8Q6iqTb4/LmReV8cUCQKt1SlyhPiZgq7GR/
95z9kwtgGen/+JXxYpZJoYrF3wSj4I8vBj4HOB5q9XGAqLT1avtrVMYOq2v7b97VX680atw4hgQe
CFMQq3+yTdq6sUrE3vyYdNpurzigIh6cueV1h3/9jv6EGV5+hUupBFMkx0Sb1POfvjSp8GcjLGZH
dkL+Oe44UkTdGMsL6gewamU7drMPZ0yRPPKG5qqGznHvAov27+XIRw8Sp7/SYuPY1l0E/+bX+bD+
dVb81/+qf/lMLJiz5CcRdvhYvCVy+Xu9RRquxOUWJEcVx6Y4lkHX3o3FyLD0H78OWBJyyzAelyzm
nz57os5NJQGVHUnEiG5TU7SdbGSUZadfr/O/pvf9Xu77r/+PsJ5Qw7hu/n7Z/YXqiaD+Xv9eFPzt
D/y3wzP4m8MvFllsybUu6My/i4LO37iRC8K9GD1Zni3lSf8QBT0wFEA+Eet8m2ja3x2eiIL8CWjB
MB0XTfA/60OBZPiHO4RwbcICdC1Zrrc8UH6jff5OFKzgVTd5qJ19Sb3aE9gmQo9TnJ/YKjabnvF4
31f6NaaDi1qhIHhNkNoutut1DBv8h7vP8arexGCWvgMfTm7zfvZvrDAXEZi6Ng5XjV3HnA9q3/9u
z1BSVhgTMduoeNGsWuAeiq3QXgb9/B3/QvFzLkT7HQgLh3PQ1e3VF8Z4ZwaL9aIxDQgFhdqxmLVP
Y93bD13DRt1t8uKE9MaTg561o8S9OW4sG7KQ4UMnO5fkKM9pFjoNZ143f0ISm80jNxLjbKa8EAv7
tF9WjYh/saejZ07P1V6TCzv7YdG/QXxp0VeAPjGKiyn5Bl7PfMbAMoQcXiR/t1MQVnOy1GhWnPzt
r3C5/KBo6+JUN6Pceb2vbuHJ0R2RNl1yMXUK07suQvJyheAkhGW2vjdoPQxpCEym+5C73I5hL7/J
AxYgKFIdHhu79zR1x8iBPy2Olw+Rk4FCzFi2cCj0wA9g4+ux6hhTdRuPij1bZQa63IG2o3tdxr26
Z5k0HX0aaXassDAU5Tz1VmpQuD07UVw4InnH1LLkvNGu6ey04MBrd+QU6KL6yWpKIKPEHr27eebW
h9RQTDtFSEHdemxNvt24A065mgNgjA0FwkeiQwJSrLlAkSzx6BWm2GGmq7+mNkNNShvm+46R77NU
1vBqtb1/QhnBogbq694PJvsZbld9ozx68OipBTew80ozheHf9RjblEsH+1qwPTrRND7BJhnDa13l
5ZZoChO4h+nohBwsLm6eDievbZEovRKpkfLPrUWc5k3Hffakcw9ZwwSndSiwtdwns8EeHm43iIzU
G8NbcL3xtfRNTB4UUeHmqQPn4kFxPZoW7V2rKCq6IxAlW8OZ4yMNcLuwyjFCGpxlx7Slwn68REPz
qM05egvrXJ0M5bqvotb+mdE7OxBxtfmYCiuEJ80HtfIEINhV2aOdkQQNWLOrkGl85RcNQyIuI2Tu
oIGV26A3ARfzGxsqTF8/LAHSXTClIC8SY+OV1VtZaio9/EJvqrY3vlVuPa7rsDiZY2fsRBcVG29y
r61yMSd79Gcsseyodr9HkB50Zze7ohA1sEMRX1xIfF+Zrj4to65utV8/VnXJ7ppwc+SoLWjAFmMI
FTmzO1w1govwSiiMKXkwkAXAnbDVXkEg8avnND36uwFzar6pNI2jiUuwE6zQjGd6InmP98M71SAP
B9PhZO3qmPLEudWXAAbylsuwf0bjym8ME9pEDbZ1n7lt190DRmcNS7VlHQDPBF63ksYYvHVpoHJ6
FFuj5+cq409Wtqa54W4CNbQw5zY8YZ+J473T8eGsBHrlyJ6DZCO2dByE7EklLpnRGTrjMnjEOumA
FuoLzZXiQys1doGfevws2hHzrOfuzd41Uckr62gtuN5+MAGUSJctNOHP6Fnw0ZLW7AN4u4SiAxnq
eqPiAWfYAnHD7NJ2OzJG8w1mKPMxSKl+CayKmJqd1P1Z23ZxhIaq7iI7iHZmSvC3TAY8HKwlbaTv
1px2REXHbeIYwwj9SXDBO333WrqZecBXO0iqX1VCxemCACsUHCjdCPsGJZ90Nlkq/KKyfnFt5MWo
nupNRcQdQ1TRQs3M+0czs+oXg9IfNjBMPBuMGWLfdMxafP7NHc77rl87pdt9SGgrdI+Hh5koLZXe
06U1VfZS27KhtH48dLMyHplF1ZEgn3qYkkpe/cac8UcqvQcf6dxV+aXEOI8sMt2ZbQJKTTj9M5sq
jDDlkNvrdBTVcValcWs2LILPDr+m61DW2YUpPSVU04XWyR2y14gey1dhKPWtSrriho9Z3ZNLdd9a
DwfDpqrNsWQ73pMwi7vpQvcSQqIt52aTdq2zHYI2XDdeYN8AwsWhMUSQ1dywO2fT7AIP6z2SQ9Ci
aqLX8KaZ3B/nQWW7bNbzYzS3NsXCWqrvWI8dUstje9WxyxIr07PPimXGmuan6Vel4u5o9aC0EGxw
fMNZ5Fe2vDbwHueuzRN7JzWipG2V1LuCDdj7ePlLEFw2NsEcch2pi5EchEvf+0U02AOgh2X7fuBx
X9bVzkqBNU94rh7isPFAzhuy2JMsUUcQm3IfuUuKKIqy74SN5ueWsMoFsBz3dwv0w6l0o6pbE0+y
jtJ0vpqJMk+gi+oDpyMtLXORls8jiSW5cjl65LQv1OIylkF6A5FiQpfi3urF+h3jVcLPWKW3qQvZ
3ikbWPk4z6Sz0kOo3gbup+laxaZj4L/Ki3tSMxYjDbTSp8Lm8IbaRfep2dT+t6aix2FMra+6K4p5
n0SEboXMnCtOOvlDdK3c5T6dzHg9YRJOjeu6BKVD2hPxdH5LazE8CW417xEZDW66do/TCBgZiwlM
XuWzmNLsR+agJ3UOkhQWfVYGurVeYwACPlaMyrm2CFLbkZvoKI0Ad5OXnmaM5i9hJD9C2Ry4tIJz
FYTpVts9g7MhD3llPZo4oFZTWuBdr6JbdP4KN2gFObUb5mOelhN+8ZqL5NCFiXce89R/7HPAPAb0
in2KY+hI6I9Dhzer5oMy2FtUTb4oOOFHG9fJviKqQza1NlKYY/jqcs8e7mXEbxpHDY9W7YS7kmfK
M6uUjIwOsYUgt+q7TLjjsypnzJQq9BaTkY8UmBEfLzzjKRjFdnQnKB+mHdwPjadvawqU0IOS9Ls1
YUPuMZ5u6z4vv/I6VftBNTnLH6ypo8jDF9/R03WJL371jQ3+u8Htvhp8f3pEjq8OXdpyMLGbA9C7
+BIX3bRTfVzhnWtm4FCF/1Ng01yXkXctyeCftcHjPmdv+UEVcE81XRrYETYq8N1E6Y3knGnGb06S
agRHYA5LglOCr9eGfzv5NTcSCqY/dE80e4DAcZaRQe2GHpI7IvjlDpZxuBPw0ndzKkpCMiF7zCRn
1RgBBa2a8YuEbHOXlLjVIFgfLKxxdDjg+w5aWE4CX+uFRABUp264cOikLDPM3WvW29khKrmtF6bh
7kpHwaBKLlMbfyCxf5VWeBVSNjsNPIuOQpmIh6IsifhWpWnt4so4c0/UHXkkIPG64r66KqYxT9Ym
FFmOEYAwz4uXeedMrfEQmHRLvQ7lHIhTHzXjXvhlyHdfZO5PDllFt/ccbX3jIVXtx6G1fmDCXYBc
uuLsVwcq/Oo7iuF2M+6kt4ZE+2OYeWLjUohxYzbGjbJS74HD5HRKQxjZDiDcS1MnIae5LtVYd9OE
Jby0GvL/tec8ZdAYDrrBpJMvOuDQpmfHK/1b7gjt1iO6fPGl3dcrTZrjpeRPXGxtTGRzbRK8dRvg
sC3NinY/TtaPRU3xB9cruoMFV2tXV1N/D0woGSgQ9YMb17BIo5d+PmMT44TLtlvhKhihzz7OJOGq
bQn6/pWElL44UIzNtUWm49YpOKEoBW2SVWlKMjOWfnGn7Nbz141uIvAU3pDMa1XVcgYcb7KVVlEZ
fzdVzCaiLFtiDaa70Ow5YrhdcyxUpm/Zb/rZpm30jd374j6QJtVzo3ASQXw81wSyEutDll1w44dK
vHax1R3Z9cIsx/wDOF1Dv6GpBkfhuHaRqkJE35GdW1FaFS1ZQ/DUTHXc0iBTT9sRVQ8DFWY8t/L2
oQozSmnLmvLZGEsSQaZ6z13rvU+WehS7K6gVd+N9FuD9GBPSEra8Y4v7s0I6OUSgx48j1WtrpQ2M
XPHB9ZJbXCXhqieUuoG51j6aQ23ghq0T+mzoMVPEVdaZq/bGMmIIgcLvdlQYYP4sOBvyb3Lyvfyn
yU5pk0iD+A0mVb4IHHs+jxww68YmLOLv2N+z9RDLpxZMxAr63rPBsWPFODjs6rS9Mp0vXV/BDUJQ
tdGYnJ2kpUUlVR/sQy7KSzfYbwOKh4iYCVO+tYV9lmSwsLnV9gbiExVdQzWtVBG3R6H0vNWDhUvX
j+ZNlEAed/KelQFu7U3SExigAqHA6FfDirU3Zja+s4nbYPY7tPg5NngArnMn1N3g6GLrx+Z8w7Xn
7ksnojEXLstqGABlr5ibnFOag4SNSlYNLuEkKBOAQCpIINA8EjpnoKo6u1k3ikOpMfX70fIiFoX/
l70z2W4cSbP0q/QLII5hBrYcRVKkZmrY4EghF2CYBwNgwNP3B8/oyo7s7squfW38ZGaE0iUKsOG/
937XNfHFA6u11wYwbSxsOQXo3tSnct3nfL5Bm/t7QoEoN7Yz3DiGH1170+rfurSEogipjQtLqggO
6W4CrzpbwwBhMC2SrRfX4TV3Cv2p7Dg6wbwd3ZsWKAMHGvcNYbaPtwp+Sro2Zy44R2Gb8tGrY427
0rbnm1oLvWLjEK9x2eVPSsQ1lqCWnte9keXd0fd9uNdD0LUseUP9isf7yUb63AsVPCuVuScWGAQr
WQc3Om8+51ramCwWK4BOCa534bY2xfDLmvrE4nQqgkvc23hvyJgqXrk6f5+CwFuDcW1gY7TR8MGb
JSEz1hgCiiKBJqI9gPZs1S5qHcyHMD6ms6Wp+WNKgIXZpGXHauuTGbPmswqJ8Rq7Wf4OO0Dupaf6
ElNu578AXUBJJ22UQ7dN7ewfE9b/nr79G0se6WeLovL/NGy9Tj7Lbxl/tsn/Pob751f+YxTn00ke
QLpziE4HgkZVBrJ/ha29PxAhraVsgOGy7f8za22LP3wC2EvWmmrdf5QW/5W15h8tZV3Y85i+mgx5
/0tZ6/+jpExAVAoFl2u+C7jd/8rAgzXrF4yFOMOPbfNSNJX/hrQXnznAsILTpKGpzxBfEdvVr6C1
yw8KxinXHpKk38Kfq7Y+wKut7xrhG4mS6jgU8ErNQObfLi0Wr/89Cv7tMv13D6PtLmn7//cs+Oaz
nf419P+Pr/nrGfT/APYAcRAjpvO7Sek/nkHnDwrgQE+Y/BV/b3fiSQuYA8NyZjlEZ1mez78eQsv/
w4O+SL0jEMffT+7/Msf+pQ7hq2Xujq32/6YW/W6a/adehCsUw6ltUsJmM8UJUcb+LllkpoXjK0vK
fToYwR3aGfZurrgF+Yw0fYtZ7N6JEuWH0stZlanT4waHs3grsgaUzGCF2CJb9RTSAVBuBmaH14qD
8Js1lv5lnoXzIt2oO4+AEA5TYadflTTsS9/G+kANRXzjkcgUsIcIQqwbUznfmZ4teHJNry5eLqxn
zJAs2xLr1s801cwpAi9/tkALbALAksflLnrfNTYF98z8NqCgi0NcQ/T1wLlcsax1xxb9/cqBJT0j
xu8kk0ly6eGwpnqDdZ4UBo2ySmw8aCcEDgJgWCn32yoPiIrFbkMY0qviS8jEZy87WW0cneUbu+mz
rQ0m8AlYs78Ci6QuPfLfJiTdHhBIWk2SCnEum4D+qAk6avi9O5fJ48WxBmc3AOh7GpRQ50pxfkx9
r7w0ltMtvUDm1u+w9uclhxHCIZQA5+jtWe9e4OHnWEc1+r3uqapr4TPORjlwyLScrWFRUZXnMJfd
5Rir2prCgl7Nn2FBbQjXs3pXIX5uLEBG9GP5+ZYMGsM2R1gvEfx95N3a3ZSqbQDkgkR5JygeX4kY
jW8EM7rnMOqjX+bsYIx3gpk0lmxA464nYfn4e0VfdDtpJ+K9YGkFWs6pn3nq7OuPdGpGh2pyR96X
wRDdEo3SNIMlekufFl490IDBUqUehvRf5JOz5hkxgrVBgrta1T0wgGDoix9z0u5NNJjgwkRlcijp
qvLWLhxwbdptnvKJ34vTFGLdSf9n0mn5AECnOkJWsM9ZHhM4NEr1qlNQ1l0Q9q9EqeSV+xfJ0aXz
y0vrUzqM1o+hYXYXIrX0Ku2bvkLen/QDrKTvJAk+XNePznVLzdlA28bJym1304/lMktJK9NcTFcc
3ui9cM8DDSqgggOTerNuOoI18O+KOiQUlGEgApgLLisebgfIYp9t1883k+WMVM8EyW071dmBzMTW
inV0U+H6ilc2TtuHMQyqu1GN026Cr3zEpua+g+Hzgm02D8abTzfbNa7z7FBm4/hRIFV+jiQJVwnX
/U3VBcFptBvK08KR2nv3QWqzebQHXUCKzodPjFjN1dV2sm+r3n6vh5o0WT8QQaM3zTcxGOPccgpk
hA3/an2JOzf0GDY58QkKxLCe/ba+c7XkRhzU9SshIo94XiH6G+t3pw286myXAh2NBjGRCMbi/Bgb
BcmUjNXhDtmMUxiWTb5fgZEYw605Xr1C+keGO9OGq391jnyKqzyVWndyDrpzXfbmViXY92iSbPHn
MbaRa6+uvXOWxBJ2UM6NFiOm+SvwJvWr99zmbJkYNzZj0QAjc60h3w5QQ3Hndh1T8tET44tsk7LZ
m14gctqO+8zfhJMZboopZUyDgR6njb0c9vtycM9W6ffbCiL3rscJW2JcpBNuU+MMpSo5TeqtIhAq
d7NvBBfiZPRItyzF72h1s1xF2gNcmLmLl4wsuBFtQP7AnG+lF/B2Ugh6CzOkesO7EBfc2uL+QRtD
+d0xO9RcBWPrwyHc4q6gjSbvRK9sZ8WCaIAULVN6r1a51fvvU+mQo0sMO3gxBfdb/D/jWyOsuTxC
oSNGjA1zOhijcMu9AuUAYoLb0ldcaZhqCv3kDeREEWzDPGjvxXJBtatpWbTHaGJhZNaLlVkBxOit
Yer3HL2Wu5wVGu/0T+TQVittkLc2O/yRRCkKcSOlVbdrWxjNZczTJqGjWdl6G1vmNK87Y6QVFVwL
JX6j5VZP0hs43o/BzD2b2wIoiXaG/Nb3npdQYe1a6qlOhHHy27nY9UVNfajfJ2gkaVNMTyLOuPbg
7evfKTjz3DX275KxUz+CVcso1GBSbNBnKDo3AuOdk/yNMT8MDFgy88gI0DuYpDUXZq3UP63hla99
W3V76o2mfI04yiQv003+KDN4kj2FMGfI7T/NZLSfrgwfHa1FtYKfjUNI55W362nkOPZurz+mYEBq
dPrB+3B6ARJuGfAeBO0C0Ur6OUKpOfiPS2d6cB+TBGaQ6RTUT2R+O+7oW+MHaP1E7TMqU4E9MnGi
o43F9wWJTS+wg/gK0AJfVw9wbsPVSYyM29rxlxmwq1BPo9UaX5HYJsnono1s6PwVRgvCAKro3QPZ
P977lhfhrWZECSjDy05j4QM0LMh1aTC/DnkBtI1hD6rAfIGtm5yzwsX4kxkildsSG/Cb6w98z2DX
iPk7nVPiSwckSiNW2B2rPG9ekVEK5yD9FLxH5BejS+odwM0SouMGX/KLg3djQh4SHd+gO8T5d2MM
ObyBJp0vIE95Y1Rk5q9pmfcn1lDzU5hqekU4Dg556VA7FflzugQyaQgb+b9GLaIu7D3k6x+6gbv5
CozsuCeYY7xD3tInSoXEC+gSNr1Bu/tIluGVgLHxIuowf3BsjJ/0m7lUkCu7ONt5GdGihYHvF4uu
uksjhxEC8zB1HQZnAkQj7eoDhmN9oEYQdYG2HfvJlQkZAlZF46vEMDfTbiNasdJhaThrKwo4KqCu
5Z+S0ph6bwxD2m6x3RNRTWXVNnu8k+JNFS1zsFKUv/zECYpXc4yEs2qn0X9M7TSh/HpketYO6dyv
VFZl92ECwpKPy6Naxond8RQpSH5BmiYPo0qYnHXBiKsbNyXlV/kXvyuu3rMO6ivVj+wCdIcx4Tfn
x4z+onoFtrJoQdyai15ZM643aGmKCZMY4lrTM9yvccn7hMlnj8oxoufxjZJt2NPAazGmynovVpso
cdWdQJvm8fSthY+XJdFb5AFrJHgOdJHGLUr5jLi+9p32HtQoQ6ISkt87lNHuHjfhfJ61YEWF9dY9
9mZeP45BRG+ZEsLaeWRfFhYjNRwymbzbFNtRs3bY4Xgy3MnHh9qbO7MyQR3aQwZtcRaKEy1Y+1WX
tumdx+iFdENQWp+z6VdXowkBWplIVhev1XwiYZ41eJI0n1Dt1PLG1HHwmcHG/JPrLt9WHKbqGpp6
5PNNJvB6jh//yagiv6EVM7xKIYk+zI3B4qesSzbb6Tmf3IgyHzefQcGk7g07bU222zPRE4sUwXRf
4YwmrKuDk3YUDHEUP5VupKTrccT3hLUe6+wPaebiFwwO++hGRvyFIDVNQIbn8BZR5JIQ6D9Mc842
/9+Xxv+fS6O9XPT+s0vji1Kf7f+4bz+/f3V/m2D89ZV/OYmcPyiAYkhBeTpANVrb/+Pq6P/B3Q9D
XEhNY2AFS/LvLycRV0dnoccFuPN4rnCH/fPqaP+BG2lxxYGLW9qErf9KvHCh5P/t5kgWDlew8DwO
+BY21b/fHBX1YR6uhWFfpyp8Gvt2uisJ9fL2hLL9wiXPPiHCpv43RfawP//uceTOGjqOh50SK6Bp
cQj6l7+ZpAcOa3cY9p7TRzvZIh58FhbdZis5mE6x6muTIblsx/4th4FO67ZTgXQLiIzQmJaNwtuL
vDatddfaSMNNJMFTmSWqqTnFas2sBfBKR7UWs+6o629Gi6LfddOjL6zMURGrratg+rLHZmWrqS3J
vtv+e7HMTCfkySt3BwapYpmp4sxnvJotk1b5e+ga1BEnES4x/Vvp+HKHS4wkQlGcHFlJ8FG7aaSq
rJvLr5SVgJ1lIHtpVpsuqujda02ElTF9gOnjv4az1+xtOpJv26I2cTNBIaFaNfaiF3ZGmW45TFKj
EligZqLpF+odKhOMvgj2+UFZOiUbkNwHSY8/R3P4hIRAvMwsr1ICxxtr7OjmCE81YIwsQ+txKqiL
4k6yEFkrum9C27kray7iumKvsqlGjEfEf4ZZ7q6svZzzINRor26XlAwmdgOGeBw6ENDhKCQIlxDQ
9iXtX9Qqk6Ojp4s9Mdx7Xtuhtc85/1JFjCLqRoqXe5bWvlYHqg1xyecd8bmqLzYVkcM1hCAyFnFn
rtkU/G3GXG/TaXhPyo2Z74rO3BEudA8OBjxkeiQfs+37YyQ6Kh1HuhNnKhDWvVtaNxngtl1UxwXs
7szbh4uM0cKm3s+LtDFYDqXonRkzD2GD/l5MpTc9sYyNb3jGhZh2eTAxxT6ymHbZpnRyZxPj/kpX
gf4906PdN127QVLEGwhGTrgBtgs3fLSd7hO1CoGnnm1+7xI73HvcO8EZ85n5BWO4+AZ6ARwRXhNh
KisZe7L/2S2RXlTpsRXyklphc1DwhdGUjGNh1/UxmYvqtQho5KN2pwXXhuElmbftb+WKDjKwMkJU
nkeSHHGryAcO6gJxAf1+kb+sRQhzfmti2rTz27wrTBSIOi/2tMmQ8XPxA1E1h6jW/NbX3N9a27zI
bqK18eB0ixhnLbKcEydTfIzJTeVY1BDvut86XrRIeo1v03Ta+Eb0OI2BOGD1IMDuLULgzAt1wCeG
/pBgCbyBse08Vy1Jn6UHkPuH+1titCcHw5VJVe0dmstwJdZKozHzrvEp87Rln7DmEiUj3oauOS0S
Z9XUNAQssmdmJ03Pncd0fmA+IPdiQpzalc1UCbvCPLkIqIuU6i2iatYFKa4812rtdflbd8UDmDz3
lsR6IdFl20WgRapFq3UX2bYHszSu7InhSD4bwAWmby/OvroiuQXJtq8X+befLIwPiyQ8JKF95y0y
ceP0t/SbU1W9SMjhIibPi6xsCQTmYjbUTYrmXC7ic5OKb3DvpL4qAnWRyuMbTI71ufR9qCu/BexF
yo4LX94ni7xN/XZAV6G2tmoRv+dFBp8WQZw7Odo4CO7xNloE8+K3di5xJ51CaokTJmWLuj7/Vtrb
yTW/fAh1Ry6Y+SmEiaepuoAd2ZnK3pi0u3u/mmrCt7jyCYpjLjAK3kuD82pMyL+DgMCZ6iVLJrLd
5dA/MKiEbEXtdrDB/TQc0Zd/1XbD+tFVjgP+mFqyENj5eeAI7zqckODMGfF2LGJQQCop7g1hRs3a
tXt7LaoxevRRH+3nwZhb7nZTBh0Fge1PZRT9pWOanm2TihETYud0F7Q0Ok4ogya5Wu3zZEWtwWoR
fwV0lGyM0g1uGPjxgy0Tyxys0SrVlvUS5FVywqDIfUjT3EDHgjjEY3YZIqdbA6Yjom0RWi3co8oT
/1xbXnJkBvHD7oR3tgrrfd7S9b7yeFK6AyqSxtzQZPG2ZXwKI7SLTfTdqWm/pYFZBHZ+K24ZFyKm
W1Gqum2CwUODKhzis06GRznhM+J4jS/Pt+mgQkHeT9LWtGPywuxdUNjDDdOR1NkOwxBcKA4orj6/
J2pnzZbIdFR+cxl17jvdRF9TnpvOU9cULLNL8ERtKkVLyOLubamR43QABgNC3TZjJEZNzWyv0158
1ZQ9MO3E1Zdb5nDyOarrtnwzdL9wBTTGD7pBMpsk+uDZpNyLHpSpUwcBxMdGqucRlvuCvkudC0Lb
SLGw11qrfBgbanvLh8gGiZrA3t90dWHc58qJLtoYl8IRkKGBQ8q45e5SOubGauJpG8eHwvRTbFxO
e0obdia3xZtI+oMfITmHg/hufP3nxPoO89XnqCCs6UBoOVkbuiGiRqHNSmIN2ZD7uoUCoqktaN19
MGAljmIrgmrHbKZKtHNK3fga25RTNGrkAYhGlufYZnRBZ9CwLow5eSx0Tf1FKnfExbaS0/wOf691
m2hZbnKD64MwfPmtySOuo35Q57wLyO4ZFHBXWmdQWxprFXdIpvUS8+M3NG45C9rrziwFINT5Jcqh
qFpFVW8Ljw82b8roXAVDtY+6+mV0E+M5rMoWtdrtl6MGPeseXbSVF5h7ViBMMG4db4Os9bait7KN
WzreDUU5DmH+8B6vMa9vYTl3mt87qKdOra120A76rsc0RfsxXYTgbfH8QuXvQJKcOC5070t9dQLr
0XV3PSDHe0/W4Tal8ibYVmU0vqOi5I++msVJcJX6ISPrHQy2HBxx4fhK8Zm36S1dAUtzRUU1O1mv
TeyL6Eckc3/juRMxUZVbQCJSEXFXDlxwe9JM7mM8uf46I1x+BHek99pK7c/QbJvbQVj6DutrhkRN
f6nk87a8I6ZM7ufctYtjbPXyKQ5N90TW33xGUo5+5R2tKzDyAlyKbSwzFiYzOqAhuMeYj1pwU06J
u9uGhHipO+6j8TTAm4V6tC+EZV5tJwhXjusMiroDjRXcyuNvaKECnoQX+hW/hJJOtiAwnomopjdc
5qZTqtN5X4ppeHNcVZz6Zirpj+P4cJnKsttZXQ/XjJtuFm7dxJ6fs3SafvWpV/CaMkV7bOnlewyT
ikreTFIlzdG2x2RLqDelcfgaTJW4RES8jgkY9v20pFfZ/CAgrngO4jfpNJQ6FyI/uQzynoexcG4G
6pUfjJB8mLK86N7uquCck4I6qTLwMYmO2bqJm2VyGR0wObtMbeNLG6QeBVUxjXiN4Q7Uh2ZOwck9
EYAYqb1feQxFsRzbJGv9tmVgA5h7NUZSr/2Gm8WK2z+ZTloVeZgyKvguxGUTOogZcVnEWdfgJ9Sj
p4z54Nd8ByWethfbGxiEVq2yn6NoRACYcZCY92wReMP62B+YQtR0duBIluscpDKe4zLceXZJ0ZLn
LCgyJ137efiJqEFI3TIz1ply2mMX9HYNZbzfHFpo5vNqJdfxnC+2Ic1gtHDH9lA3Q/fOSzs/GmHH
adPV5T5r+UsCQ1hoP0G2dYsqXnu0X91XurUuYycG/VnZlm4eqCtq8icD566/UZCXIm4iXPDWTNvS
caXKVkdMNgfBLtsrgwhbMBh7t67Sx8IZ42ddm/JnBuO3J3URV9t5dOJ9z1jtAYOh+d5XofNMNh/z
8NRa4dvSKI4eJWX5FBdG8q1HLz0aBMA+G8fCuOE3SACYlz39KDig/mpt+APxWEGPKqRuHidGhaDA
kTQ4sHUmq5qrmhi9KmPJbju7f/X4dX9mBBReXIyR7XNA1YO6RFWDqjindCNsTeSZbVww6kJ5SKkA
dmMaCEJ4Ie1K9uYkD7XJQ7jpGZannNu7dquKySMPm/H20vGO4lKxH54qM0WeyH4rFQxJQWQbcDwb
o2akyR+Y+KtF4WgWrSNn0A6iJKyvQGD6T4sr0bpx6uaxdZ0H4uibGNL5pl4UFDVBbIl5Dgngoq+k
PpXFcRmmB29RX9JFhyEb5wZbL5ycd4+K4+OwKDYEDKs7a1FxYmjuMTwTtB0HkadZ1B5O1AkkHBSg
ZtGC+kUVGhZ9SFWGd48xF7uR4e9NVfl3y5z0qEjMbSgSSB9L2q7P4W/hCdwmpcn0cpIIDxrAaX4+
Radq0aucRbmKkbD6GBDCUOiHvhZEf3XTQmzBO2WtOkKQP31QU4jcF3JH+hV6wmgl13YRzMaUNydf
RLR0kdMQLuxz2VN1Lhk4P4C7/ImdRKytWoWPDcfZe5o7Gk5Xsv7F4ApKXjxaN2WXec8zkLrjHAux
NWc1XjPTTsmwZMmFTtn0vppbXNItPdrbwqzVrY6cETxWXB/oH00eBgYAG7uWVb2iFK2+77mTfjVo
Zw8J01rczYz8uqBq7wYAcQc4ia+90Ai3OqDZeS1humx1FQZrOIfWLlsE0oTW15Wpe7HOFvl0Qlx6
G5LKQsFjikHtcvgm4Xx9RCiXe0Th7sC2OjxSbDJ9yEW6LRcRd+4idcb3lT0pTnnoFovkOxu1cSSn
WZ+jjkd+6Fjv/brqP6RsSxx7Sn5OHqkT/B5cqc0SEh88vxR1ceLtkosyDZCCTAOj/m0wLv2ji4Jt
AzyeF00bc390zRed210Ub6reuaAuKrha9PCgnmh7XjRyf1HLI38YN8bQ5890s+NlX1R1Z9QUmEhR
Ws8B58mLKNjzVlMZ2d8B0ctp3bdFexJxh9oyRzDSDR40OGz5YFB+qrKeDr5MxZvKcOpXpeuGDt9Q
m09kkepnv7W6TwIszFb8rIfTqsOmfKNNLPoclcjpWotZX05d1Xogeez4OpOSYTZb5jO5BI8ynl2a
BdFnrEbuV24v7a/BK71rZRVYL2GSfNKTWENMEP5r5TGkcQtV3cac1ORqZO3gG0opBiqDfCcH33kE
a2CSAWrdGz7J7q41u+FMjbf67IseBNIAvLAjWLHtKpnfUF887WZSSbcgFpl6x7J+a30hdzEWSPgi
mYtnU0Qr018rlnjM41VVflc0BehLaCDM3hBGGykfCBEf+jE2rxTIAa2pMy1/BuEEu7AV03ZKqc3C
/T5CHKlgUL9m3CFJc9Iz1/mS8A8/PCb9wYm4UFtJ5xRw5Yb2dhJD8g44y3z205IHSJoz34MBs2FC
ltIMguIST2/z02WSPltibOXn3EbTT8UZ9JC4BssQGL1NgvNo4w4GRH0tv7KYwZZZZSvsvJ85FbMb
xda8HpWysWCmYjmMXVlkiN+13ZOIRmsf99I4xamCHxijzvWYgzeGV91mfQ3+qQ8eleycO2ruilsR
OwhHtkMRLUIACrcqyxNxL+8gIWORoWDoh+8YK/+Gjq5lmyrgqtOHFvr5iq2q400z8IH3U3CWMTN0
hh7t3gwj8YW+HX8hb+UzQHxST3mSNyfMl8jw3KB2uP3VYzr599OcmHv2ZiCgiGlkg0ybmgjDHfe5
ETq0RtjtnWuJu2Um9C68yMEBWI8moW2jTO842YHGF6xX54TeL6ZdnYtvJKQfgN4VLp4ryigc5m+z
2tg6ya8iR8NbhWPrPXA0yB1SDVl0Z6USnODodzfKSTxIGrbc2B2IwSCaeC9zxCiVUyG1U8CR6RLt
q/bktMwS105vRa9NPFi7rq279xRn9zmt+qwjpGewgDuD+2DLvjk3/G3rqmmi+8QU9lnURsngDPjL
CZ+Ff4O/OT1acupONVG9k3RkQN0HtP4S+TveWCXvKcBZdcdwrcOVbXccaQK/yLbNYEzjanbqdBs7
058hOMeNsmKcKLElvg3gs4eBLMeTx8qEHgnRje1oBno6B9kuTvt417qkfOAcy31i+SRUzLQIzjpT
9cNsaMGj1wj+kWGXN141zhBsc/9Yu3X6gnTPKqirrmHeiDu2Znhlrnipqawjt3f1ksmBcCsGzlzU
edgdm5kCDhL71JzZGfCz1jJeArXgtSZaN8ypiPlt1jhRUp3rBz+yYPxPgXFQuVcfjUpQc2mUzYeQ
HECIyshNh62FxbgjvgS92iyau0FUatdmAVNFgLET3hTlElUPittc+zjw8VP7mzIhz7GegkhtHTvh
Ha/oEVt7wRTteyzkJhuPNVzMPOyunjeb12AsASf0E3Z6JlfUfA0eUqqfl/AqnVHWz1C6CrGTbqdB
quNkKXdGzizvhDvQYiRbV+D7wYzxQCZZbLyWqdMdA9rKmT1ziKYALkmHR3jtRCgq35NPiT8jDOO4
XjzDrueOm5Sk1E/qF/N+7kfvI7Nm7zHQYWXufIgazTZNKa/YuXbFuoV8D5Yozz2rxzcQ2I9d4HBE
HiHZ0uwbhPVr72D+GkDVzOswGIVz0F0beceZUf+zdObyrbGjcW+kZXOnaWRDnHWb7mGgMpFxG9TV
+3pkEGcPDlTlTL27pqRIN+jIu5hh+GFUdrKj2BOVECrCsQus4pp2KXiJkr6PXe8lFt0vJkiZSR34
FOZtJ2p98SSQtJULjvhJqUFvRDTNz4wv3WPQWP69PXmMGNIxqG/jfibpqxo7+GZqgIEgxttAR3uL
dGBobTgbwx/bG2bIzbxuEZbfQCmxQTBCnc6qcPxtnzzI2gdYGJde+JzBzL6NW8r6Mg9DvpX7+hxZ
7AQ3NHbUkPGxLn0R7+mqdTLBtloCT8OwYursPsBatiFxj1MebiBI0MaN/my5m6ECxrax6aXdsY1Y
97kTqgd7suZXBufjgwENnK5NEzo/3bp71dX2i51lmviVcrYywPtBVNOaNh34uzuonBP38jHwPlSd
JfDGvfykDHO4bw0rw2U/m4lDqEmjuphmzp8JxIXLJDllrZVvDG/TrDzG/xyud4mrIU4mUt/psAU+
5zsZVKSMD+KhIuFoUB9pxd+RCcxgLR3TfIqjpUxRYo99SiV8X21EXKBDD/wkDEl3TTSXi5QubPfS
Vmb3SLmreLRGu7ybDBdjx5JufEewlhdvJlK1GprAW6IqZBxliQf+RqrGfPGS0IL/F9KLWwB/Ruft
mX+ig1M5mE5G9KckCvBZh7w8Wyjm3D0Hgd9lA3Cl3HiTzTVubof8ladtwE+YS3YCpp76rhN29Odo
qGWB4yVyicS94vO0DrapiMxgFzpCDRb7mAjsibWdDagLxXfn9G2yJB7sPa2XxotnyPpBe61/1EDI
b4EMDYfZTvqfrnfk3uOxbXDEhKAkG6X1Ly+Nik2bY/Aj8ZiulafKm9KZ/aPLuo2SXeVPjh7co2GV
9CRkU/9dkl6r17M3EU7IRXmTOj5hEmphm0+zhtS3jUmIP3JFYvpN89JLNtjBA72LOS2Evv80Wy1/
tKxDXTw0b7FaekVwnCB3SL8zjioT47bnM3yifVT9yQ5UBKvUH8NnYzbtCAdma8lt1SX3tLF0wMYy
Arczawu5396hylkodV/Yfn6qTb7IjCgrjmfPv/c0nJGVmIr+Y2astmzIg3UO+q4j+M6tBA7JmD9S
zJeRdQhTqwYRXs0POkNig9+ObCKk94C4VR5yYSaPneXW+A20ux6GhquGg6+6bfHnzckY3UHd8458
WXzH2218aZM2UP7rW0LyfmvKSn9yZQ4uvT/P95MuvhvT3RRZD20Z798a/O8EtGfCKTraI746n76o
JHyaJNntzMsXHDijy4PqBF2e9qhxHljCe7ZHfi78wbw8U602Ts57TWtLN+4Grq8oND0TDoNug4Pi
2P7hJ5V3HwlhggKydfvocKDnJpC71F8FPbvcoEHuYJSyixWsxe49znR7i7r6J3wzwjYQE9y7JLb8
8+hVzoNmnPFR+oFD/s+MsGfEPfJN0vM0jYL4InrWfSVL3EqCmULW9tZPXUaDQcSzgStrVp2BH2zm
Q8TZNk7F2uWIcOoNv3y1Y7aspAg5siRMOHEgj7hJUFtowTLrK3oqiV8+X7pVFJzZpA02goTmNqAj
tdpD3nDYTWONaKVU8eHZ2IvRDvtt7k3Bz0CfB8CrjO4ftvt3QYljS/YOvuA6EwOWq8jlIOun6Fb2
3HODscxkPHVWxyinaChvRM1h3Fu7n7XrlER7c2UcIoPOWIcZicT7nBHN1iSBaYpsauriu+TJLdF8
qDcfn6WvYdONk/4irKWecen2ABAzvaz/0VLfF6YBPjAggR9Nhn6JT5RLDyNSjiZEhbliDSmLMXE7
Hx0mUzYbTaaSM6wy8YXTNCi2Yx0RZm0nNq6pDL1DVPnixA9lzDzquBeT2qbmy6XSgy5jOq/bzoVH
W8dWCWspyqfXJsgsdJsk3FlWzZ5fNgnVi56oQJdFFvZD5cv53MuI1VuNFkHv0OuOMXw0G3/05P8Z
4upilidI1GF6q9itLFlH9PmEk3upC5m0KwZtANDThF1sRc8RdDjP6+3mNtSavybLHAJlXVWF68Jz
zJd8aNFRrDI76cHX2A0jwzgwZC+oyQGmwf8w8tJRVSGtFzRbO1+NCKL+GoSD+90MsrzUKKgPbF6c
XXK2Sww9bO0HJQoz29Bfrt+YN1vbNkuN53i5XRUQTXd9HOJ9c9AHt6MkyaxxGJ1hi1rfmUOFiWLc
B08Pi9PaARwe7VxcBOuQ4fBpLoR51FAQLzSjEnc3lyF5gdkGmcbaYukxebMGa2uk44NjMBlNupHb
dfcGdbU9TlFJAa1RGluVmVjIpmb4ZdZueu45TlysZXWOYdBtfF+Ut8ZQWzQP8J/m1AXRYPadePuf
7J3JbuRImq1fpVZ3xwAHI2nEbdyF02eXS64hFAptCI0cjfP89PejsrIqI7u6UA00GmigV4lAhJRy
l9PsH875DprJ+LrBCngGkGluihZQIsjQHtWUZbdPUVfOt3Xf51dFCt63iQxtI8xAHTLD1d+A4bkb
NPL1leoKcOdzldQ+EIF4jXVsfmtCK9qH0KsPNe6+PfU6Y+KiC+3t/2qD/hVtELobC4zbPzGUxOrl
LXrJ/pE86K9f/FdnifcNaZBtuTjexWJv+rs8yMZzAnkIMaclDJ5P/uZ3eZD1zbRtAwyR4wK5wGPy
N3kQyiGg/wtoiLWr+/VXf7KS/DNrCQ3XnwRCkI4IutZt9Domj4Ag6fKPNCzThWsAOEGi8QhyKtVm
Iq7Qg/Zass58E62FlFGPvMehsuWOO1DRsAQtoUsJ8XtOZb4j8c33CFIhwZrtTac8tROqTZ6zOnW3
xeyUcADatHqr6GBxeFeNnw1TeK1hcb6TqBu2RZfTnBhYNN49JDC7MWrcO6zx8bDBKCjegqxQYsV2
K9r2mtpOXneOE5GdhA6Pn6anJZ4mPOC8FYs+iHar9G70Dpd66YXdkxNW3ntKWW2hrqeRq7Wg21q5
Aa40S7LxPYxF8NzZQXecm8Rc287Y7uamiPa28CBsm3q+Y8dKQ2BmZ2+K5Q1sn2EzmUmxLyLdWFcT
2RBDJZBKg5m5DCQNb7wE8uhKWc60C7I8ISQ7iMvv/VwUH3EVO+dW16xjJbuHudE98EuNvFhuJbjn
bCDsJpGw6DzjoilXOEZrdxOwWkJ2rpJ+Jydystl/p08NfIAju+72mKfmWx2o/hykcXwVRw4WD1c2
9xk5QAdralxfwzJps5R249cIBvoPMwhhHTDwuQplE7yWI9Xjamxs7ZMqitAW5M5PBarVM79wXqcN
+TtAVhTaurgesArla4LI6LoRBW/wdn6OAiEKGu+OJDUs78cqXZCXaCrx6DOJmTMitmILUQIfeMEb
peX3QpkJYgvMtuRv6U99SANQOVm19+y+WJddaiyWnGYPfbRaD5bHS6fuweXR2iz97J58+sFKTrYW
PErk92s7NtQD8M121TcoXNs5sn4yP033nSmJcRGuuomzjA1jLZnQOT1bktokjsoNms2QukuSr1Nv
lB19QMEIUHXnpX1toP44dJVc8UvXr5jBqKuhmL13Luvw+9gbEBWwDz9Oo5kdZRQ4D0OO3mQ1MkDF
DaNxJpe6ebtoVHI8wPSfVG01tV/dlfQRzY0nas03urDcdmViXs8oULbJwGQSNX4HUMjkUxuzZ/2e
uZ5ZrUewkltN8Z55CZEoWp1TWttRcdKkLO/Q07unOS4l6jTqKWsEVSKYOBmYeMvJdR/Tklsa0XdP
hQrJqZ7QltlptBsRTX83JCEvJMPMrU81Om8YGlJaV1ESXreFHl6s2RA4t6yF2ICnmMxL9Ey7xlqC
vgKdAfSyA3Ihzr5JSBceHmCt2rPBF9sa6P5mrNPL3BVvjTEeJfotX9OHtam32pLSeVa9Ve4lJn1S
i5wHyAlrpoHmoYSmAXU7IjHsD2f1P3DULfm9v8giOfVM3JzYnm0mD2xyfz31ApcGp2g4DjAaoJjp
ySoDP1DmecTHMS+vkP+b/qCIJmjyp2zMrGhDhkt9LWaDxVpIlXhq5x5as4o6Ct0cZU1vIS4AAZxe
wULOn4oK5zmqiNjCcR2RatO2NWNo1OMpC97leU6/nm2qDovEQZ4L59As58JgT6QhDKhn8g25uOnz
P3/p7kK2++W1IwL1xMJqJMYYCKX+pxN/0lpMhmmo7ww7hBFBeatS616T4zPs4mRF59X5thtWV27d
uSGzagtofD+WfBrqEhmCFtq1sbHnqGAbOQcQn00GUXWS9R9MssKHSI3Twa2GvUAVXllzNfpmVz/L
piUEETU8s4GjmZmSCjN+q6qx8PlsqcvYyfqAmZI80CmDEk9w29GslBJ+k/YV3UtqHfK+thxfT/V2
w/tIyTWkybp3CCWyvVFdOrrWZ4DA+fPU6ygQHOJwTTZJ16wmq+ssrKNtNBhqVzDUfQJOHRxY5gaX
ScX9HX90t/XcxU+JQZzm2A9EPHmt3MzKsXcDxdqucAYgF3KYDuzniMYcyFTbhrRM9xPw2n41zDDP
+LEHzIlptE2FZ+zqwXa2KZfsJrPYYnEHwSSi/a4fW4S769BilYn831sT+iM+Hd0L14ug7NQNCeMk
6s0Tho7QYfRg2o9aa5s3dLHavdWwpEM0FnK3SL34qJJifHTgiz3abpEjIKvqC1GE/VGflbG3DBFd
BZVe73E1HhS9WttHS8pV3foVW4iWpbSBeW4YhttxUMiiWOSg8SIecxcJNlTZ1I1rDIL1fWcCiMaQ
hAi+MMxXAS7hoQgETUKQfY/aZIAhPNuEMLfNrJ6VXg7nGVzgFdquiOFSM55y0NhXSkK2Q1QfX7n2
hIuldqW1rY1kClahIj1Lr/vyCmVAcIPHqLx1MLxCPTHCaW8rOBS2sMhGRpy18dj9XbohKs4OXMN1
hERtIZKUx9FxvVtCjQjcrALKFWKsEbsCkr+ZTDDzbB+rAYmkFk7nsXG0XSJdeNVcE/7EUYUATm5C
h9MrWM4xKzSiW/R82qdcTrh+OeuyGlDygOBJgOZYQVEgI/HrYOy+DklOCrHulpOzXs5QWUecM1ls
zhwEkY4YZzlvmYDl38flDK5NMR7zoeDMLc1qeqJNl1vU0pzoaFXvCBAqTrNudM82k/91AU2fVUdt
bslE42JIljvCXW4LIzPoP9LlDqlYDGp7Giu4CsxEuYJ0r1zWIIxX8RUalfsw6YV905SZCNbjcq/h
p0MEJQsjtXeNLusjjQ3ou+We7OpkXgMy4gbNy1C+DiWdjm/zmba4p+LyhOC05wxtVbUvkG/vgkii
kKy/rvRZRwgXTho8f8j3/ZaJPCqBueFX5H5VDdNSQJA4BmaSkkJ+FRdg0BI/71x7HS11h075GHgR
KbZqAUUFmZRk13bjSWUsF5mJj4fABj3Y5krtSkqfdQ/T5pB0HdGRnYyIM+094efjlyo6S9OzbTbJ
wWoLgmtCZf5gNiOuGbDIu3wyAsWQLEKxE9XeRzWX5mXE74e4u+svcTPF3zUYSPcBRrNmHeqdewBb
p6011IjjWmHlwojiDYDz4si6djSr25MnnJ6p6WAyDWzsl3gA074oYiiOiM3Vddsx8l+Vg1u/gkx5
0p2yXHvQRJC3W7q9VQGyL4nD5sENeeEoPM1DrTHzQ+3l9ATLSOjyZQNW3EqFdrHnwjq4zijuVcLI
CTK67ccuVxeelOKBzTYT1EKvswP6p6RdMw5gyRb1MuHiLTs/88akOTNNDDdOP3h7Ckv9dfTm7s0q
ckYJLXA6qFg8aNthmJkHOjjhlrhT3sYJd+uOLAyeYpjS8RGMER6DWmpHj1jzvUpGslNRYjOswV60
LisnBMWo6T+NUV7msB0fwAPCtim0ZQYexOij8SPypknnNprM9DmxHKR8C4Z1ZdWqfQ0RkTyXHSJL
3RXZxivSYMc/edWBzG8WTBC6k9w5maXHh19z24yrXI9vtYpVZm5lRUOICVXgaiAF7xLzMgICRXzb
gfFVlET9JvOHbmr4ItuCJFLORItAZKB+W8l8mp2bqT8VTSqO/dR0Z9vCGhUaOE0Hkh74YiLvXDNK
eQE5yydJwb7Buu0sopSjp4tPUGqvRPFZOy6wjAYpKPKDW9uSpx3i0Yrhb3jH1nTacfJQWAep/piM
8RoVuno0RGk+icro9qgFyh+DbSc/gkavPwC4AmSEzL/v2/kZmOKjRW4vrNQEtR4TkrPpDDcJ7laK
/pFl0EhKayq5K3isWKVv0DV55Eh7haOjlRblQTot926Q2kf8ftZ+btkrGrU9/Yw1Pqf6LMzTOGgd
aGcneIP4JXahI5PBZ3FIWT/nTHuGEarQGIn3rouCnScqbesYk3kV1yo+oXIKp1OXa8Wdg/b/gbUt
y3Gmtu1HnyKZ8C003VesOzlt+tBK7rE0YFqeoZuvEsLZtm4iSsa22Ly9pCR5RluGS2vXqx2+ax+/
ZHFPxKFb1qxTc8Xz0/Da+yw4ENqRnAg9wlHCC0XKm2hE+dCO3KROE+1z+JCbwcsaQLyE3pkB0bCQ
8qfDiBVox2aPFTnb4ydFJRijFJm8s/LyCRiqVWwto3Ofoyo2UKBhLwiklnYrlU08tfWkO7ShUQKU
s0BRnDU/ce6fZ1f/XOYXm94IjJe219wbaA5cj+VDk7oCux6RbXdmWE9qN8Tx/J7gN19ZkXxUbU5R
3XG3z2ZuINmth53UKyL2Imvc6R1ZtTF4g8c2HCugkRNHcVX3NUdSz9xYmOVt6QYKWCPGJG2dkSb0
wHhifnDKjqD6VJc4OAgOBpyFDQSsLrohIoTPgNJg3QWhc8Zebt52RKE7a9HWMt95rqfdgze2LpaR
D58ifQ2IeM2HEiEF0MbIuSHbQuyXFEYsz/lZ4fwjRtBZ1yhPXKhjyc5hR84pwnrSJsp4rez3CY5P
skUYi08aOGvO9tI11iW8gnbAYkpBeGrZ0dp69yTT52K+m6IQ6y9y3So3k090v9dpqvKtZMB469pB
9ZPPF5cXpvObAbrxKYvy8knveySVccYUwte4Z3ceT/RPpN/Dd0d51s9AT+0fDiZzv9UbcWBllRy5
CaIrJyOGkI2gQWBSpjY5mwA/ScJDW7OQJjLIRXDYsWNMSuduYpH5bGMZXWkyVAzyBKL9xBG+m5PI
tJeEIc7cp+74hCUQuF9eGNYSzcDgT9iMCeOp2gisn8AlvPHe7IJyZ2vAFSfQgFsI/sleEBKBZpNK
FsH4tOljY9xTQ7K8FwV+k1Vt6cHFJjf5IKpu3IZZJzYps/bvdUzl14NRA0bbEV4vam8fZijjkepO
5FUEhOXwM0B2CsFw9WDUnqp+WugKYxj6eazuQtJGCEZGxbLtlwsXCSxGfSP9TmZ6eUxF0+0AsVGQ
pREzXjeh58eu9+BhEkW1XRYgt8auX2HcLhcAlMukN9MGkuialCcQFS4H9lwPve8sxh1+lMJvPeRB
q74lBJbhrfU45XEDnmJ238owt/ZRygkRWApbU0umitbFap+brF9Qt+ChkmkSrBL4ffitqoGBvr2e
uhR0hBGQMo2nOfeiV5vBTJJiHSD2wIiCU60worOSsjYMaXFMSHYRLjEFmT1PRyZ8+Zry4Y6+3De9
bOC9VWPKIilQ5whIna+G3l0zJ5g38WhHtEmxS28u0+wUYavjLQiMw8Dq9H3u+oSCock/IzLMV84A
vV5ak+ZXWmCQNxqg9MnzJH03syL9SXh0jX8nNYM7ofUeqGonu9CrtNjXSKmA5MZkyXYa6zHRRO+3
7LJ/Klw2aAKz4oQQDPeTWyb7Elv2XrfibCd6ZNi5lTf7Jh78Et+PPiaIfUzhzQATEmPHE2Z9b2nX
Lq2GHAKFXI1ontlH5LF61mGGtkl6KkybTPL9JHk/u9xDbtv5qBLknZn3HuZZN3kkCkYcqjTLrty4
kR1jSPsQDMkltJyh+835+h+Cdcx/1ArbQkiTkbpn6h520D8OPwckWUEgLLkj8LXZQH503uqwJ1Cv
snPU38RTh+DDx5Cclhw8ZI31HP5eVGq3yKanV8edyxrirh1tJkL98B0v80pmOuQrdsC3Dd+IZgGT
+2vCqUO1LvCYMSCcUPEfYyDYZErTIWq/uS//q5lk/4NY/4YNSOAPg45/B/s/vijV/eX/vKjy//7l
9NJEKq5/YY799vV/HcmDFVvCQKlvDCFspt5/c+zC/veYhUssMfznC0X2+0je/mZYnm1Il/G791tW
6O/EMfOb6SLjZZQvLJy2zND/EyN54fzqnEWWLjCV6yTJ/PppzM0uNDqGyDsVQBfAzjJAjteR5DIz
6K9LRCjFxgvId1oZ2hAR/NaIdMOWqTpNYx8cSKeqtlPk2tdOPkZrfRpd9HXduGcprTZaGzCfKrXQ
ADGP1mFNoYj6NQC+XxXtdFAm1WDWoHoal2rHpUndNJUe7aEGVDcGDpMfKGFYBrgFcL6lXhq6LD2x
afMOpIRThCx1lcqj+sg4RbCy9eIXudRfLhu/eB18lWXNUqHJpVZLl6qtn3qYqF+lHPab5L74KvAw
FMurGd04uoClAgy/ikGmkuZDu1SI2Cfj6VSxUzxNNezj0hy1bSCLgGhq8S6SmahR6VByIoKmBGdx
PviBWYpdsVSnmZ3i1l0q1irpy/XY5PNPgBrJhvmBtTeWGjd1o+mhS7G6nBosPJbv/VYVd0hdVgY0
rHOOo5XFeAZkH3vQycbJ94rVrWfsUWprfBMGLpelBl+q8SLJ0x/MOcofYex1e32p2l1aAtfXbSId
0DqD5lj47D7iw/qtIxbuaHVQT3eUwamObhEy56AhYSOmONYeNE0hRJqFy7Jk7jLvk4EsIXowuZaa
RatPaAPLF62MU5sTuvd8TbXtJtYzfR3MCd8lLiOy4DqrbjegdLR9zohmA/fBWM/s59fR8i9JeoHg
GsadeccYWn1WA7+FtVlb5SMJDVxjSFrK8DvDQYlhCrsukyiHLAE/0xWcCZHK8EY5rnXwVBVdbCRW
vlHWAerZshjwSGk1Zraqi6ZLQKQsxyAKe8G3NC81P+JLR8QFQ0bMyaRxVjbtstaO1FNgMwOgWOaK
Lr8+REKbtsgQgs+pdPiZGqhWYIKMyGOszkcl2gRDZd65ThO8cB6nyMgCzBf2aJjM9WKQoxHZ5hTi
lZFfYTBvEDEU9W2BgYzxhIcpY9vNOMFN3C53scjCTxsXiT8GmLYmdJklQQYGnTOJ4C1X1TDTVXgy
67p9IjX9ndnR9DLTv37HAC5t1NeG9akzF+CRDm1iTHugocMKByDGRCvGzL4q+6ztmYfn0lpnVCzk
XGZmgSy+twWrEcWG29RQfFyiGObmmos5zBEnj84yq++ICIT8Y99DqsUsZZWaole3mxz/ilERKW+i
nv9glV0ckD0ZiFvVjAKhCnOywzQ8xUeD5LOGIZLn3WXj+GYCyj9MRmG/keye7Ulsa+9GfGdXYxem
69moxIU3hamKIcvxcdSS8IXbND6QPpAeyglzd81QSq0yhyhEN/VMdlKN4rXOEU44yh9+TyPopxNl
LDerTSZ1v5ocrys3A7PYPetBRtRmiVqqL72P2mQytR5bDUKHG0evMU6U1zBI+q1TBdP1zDjkgnIM
TdNkqwtBpmBHwlpb4MzGJJ61GjXYqnUtla8ULOArBCc6fKkifOabqH0S6fqlIXjVH4T3DM6m3FAb
O1dzT58hsRJu4l5mV+1k2c9ShG7Cxc4cxW0SdmMtwodNiboIW3hJ4r2RGsjye4rAA6CmAqt3XGZr
ScUQo90wg6skccc92kWJN5Q56QYCe3CFKzdjRaXp+LrAsjflAsbSX9g3ed8dqyPzr2m8O/Kgb/GT
UaUiF1r1QuZbW5MTJhG7Kx8cu/dOqsxGPxQifivMSAAxmie6+k7fWctUvk+seGM3sWT0XqR7M9bs
dWZHA1xnlFU86vWmWM70nGj0ddXiVHfCUfzMwgYLRhyJemezkgMHlsXXGufeWRF3hViYcNHIDvo1
zr/mzuacvyCCDtY5cUuj36OhhaIZiYvTifTBaLTowwA2zkIpTvtNJ00PzcaY7HVPj/ddjtg7F6F2
ZG4DUwUZWEEryC52XQ4qOYe2GhB2WcP8inOw2Sepiu/wQiUHWEm33lzAUea0xFSPJ8P8yb3tYbBJ
6ddte3JuZxzabApDgmIrT1dH2TZTfsNme2S8UkSfSZKGd/RdwYNZghLk6WBOEw5kiWpNLa4NmDgv
g1LOD9oPONX6LH3oiGovRAt5z8sNDaA9kAxgF4N7q0bLvcrq2Vln1jxc9bUmrsmHchkeJ0aA4R7L
8KyHA9ChGOdCNFuHFlMzqEOjbbeulmR3tkuwc0wIuEHEYVR/MP6Ko2vT7ecXDRAYG09wgoAB0gLD
A9KlKxj4oR9OSH6QZIkrol/6n2YTJlu2PLB+uMV2vafwECwou5KejixS8ohylrdWeY1nEaru7FXm
h9UXOfQZjl8YXAz6dTnPq6qTzVswS+TZc25u8fxqx1nO3YdiZrlF7dnf16jOcDYJgBYWQ8tjyED6
xYzZedJLmeFNSHQA0/asjreVbVt+WDvWoUNSyG2ABvfkDoZx6hV7Qk/TO8DMSbxDOc5Jp/E1h9gI
WbVVwXhJZOTscKQmx8aRFe9mW30PBnwmiusEDfAU7FFANXeDXbM+lYH70CRef4n6gUmWmrivGbmc
JNZ6Fvo5qS2aoBiACLEiwMa98rhXX79q0//qAv0cv9VFU3y2/7Z857ei5PwLo/b//fpH9B5//R8v
VfEvf8Cgjyv+tvuop7sPxMB86W/N0fIv/9W//MvHv6SYgYFDiQh/5j8WzZxf8rjsfi3M//Zlv9Xm
nvjmUkTrFqJFCmH591wuz/y2BKkBI7QF5bd0/04DNu1vDoxeEzyrYVqEdlHQ/w5ihaYDvdXmO1q2
41noX35/D/66J/6ncpmvxfAfeDpSd2z+N65pc3nohi3/VKMjd89LDfvuntBttZ8iPfUp6o489Raz
mtAk2igcH1LktzTNGcLAaB6/Q9HX7kmz/1GHXnXWKjnfhQHsMtcc+rumF7cGmNNVilgblouI9/in
9cWYH7KDq4NHQZzjuU21A2J8D2+JJNEkbe60HNEneAPGElo6r2zsBT6URB6HRMpVxlgUux5zrRXD
HbHFrO7N69JmWYDTiVioADrHPEzluU4E7YJdTbqPOm45iAKShMsU2BYhPvbeI9X3PutU9BSX5UcK
ytQlQhLiA/z55Dk2k9eB3nofC3GdQGFdEUzNwF+qds1mu4GvMn3qiIrXosur65H9FSbCQN0l2LDP
Xmrj4EJFPiAC9OvYHn2mOoaPx0vnG8VPMFsdGOgl9+FXNd80A3Jq2zroRp08JkCi1Upf3CqmMnwi
cpD7D60q7/QheR/sBsV/EAS+FU1Q6gwdr79s9GdljIr3Jsh7BD5YeqUnwvt+QFhjDdp937nZbZ+x
E2TjgyaqFIF+a1P+lmQ8DFEGWcPoCSCol+9pDjpAuWU5TQRHhDobvet0GywdSVuhg0IJX/frTsN0
sc/YvmnM+TKk0mPWJlSyJtFlYmyYM2EZJhk4Anp76oum+9GadFuHpmIIjScYzkbV2hAFIpw8zrrn
CqtWIC76gIxd9ncroYT+5lTW+JjnRBlSnTf0c8KtKooQpVpvM2mTd2kxPjorVYmw9lEP2iyth5kJ
jTSS+KltnPo8t60oN0aBxt4Pyc9AbpwrY90OyHDrloT2GJLwyvXy/obRbmOQod0isPGSBuihLtzM
3QzCoKL3amMY7ohuCaI9zp6uOvIJs0I/kyEpZo1bmdeaNuSfRRmrE1KDEGL9VNblrncqor2TCZ5o
26Q4FQc2DYPvDN5t04cHOiLmx/bAQtFON63eopoHjbaibQ83wrpGg/eUNe5lTOhiyPgBIBXX+wgL
18qu9XNWziF5UQjmrf41KMV9lzubyRDTdexZbJfTsxrAGCVhsLZSQlCjs6MQG+WuR1BwOAPsLfiV
mYO9xs0MxlhPrUs8WdoHH+c13o6V1+sXsyXfKx/lra5X8HwZ2SmOqK2n4B7wUj+t+ZYw+nUj+RrD
KJ8URvfbRtcPpRPF66GuqTgikuhYUDrrItXeRZyl916p4dXSmoukSWuYWLHCrrH+2iB3mDjivbPI
GbH6aJemFKdDRjxx5RLW6jg4nrxJQ9yhisafcPBv0rbQXoRY1jPubsxplWaLQrkv4f7lEiRUVVhr
VyRV5SeeVawDIy/Oepw4z94U3puZIsRZmt1uCLKSRybZpiRdrA3Lbf2uC9w3CMTNpjamjSHH5gou
L96uQB6QygSH3nbvOfrOIeP4lYUp+JjGctsqm04my7ZiMp1dhWVQlbLbCUd/z5auZHSmD9iaNyCL
EHTNgoTbRmJS6I2PoZXpK6b4zz/cTv9AJoSQ/hetjEQY5MADd8C7Wa503T+nmuYo4zTG5t4eXzPm
GZWYK2/O2K+EaDNu2BjzlGhzZzOkrtLmrBdj/EQxF6AB69Gl4I4dIs7J1uGpQ9bnXbA5dNjmx7Se
+FzGIENqA5sZZWI6PRZ1biAuCHiejXogpdotl2A/mIm1s56KDrHBWNb9MTVo9XZR6Gj1oSbL9Ueb
l8EJVULfb1mUcJpoXydL9XXKEFufnUY1RtqhayfX3PNcgsOskfCvOihUWxmlyV1LeLgLhIRE1Lqq
OKYGJ3wzg5KZA+FM7PW6qyxotgNAxm0Xx/w2k/5qCeY72Xp+MhG8nKwgSbBFqNFPTS9aKxV6von6
fdV31h06FBiQHGdXTh4Qe4Rxfu31bBiMIoaVNLKzzXOTuYfbfhiyyL/XPZ6FyooyPqugbZBhpkaH
2KgvvM535njaQfjgaXH0BFI2Gi9OIVEaSXofT40xnKCAKCSeg73C2IQ5CQ6er1fAjTwPy21UefPF
CViCNLq6htKZnKbQEJeORpdtBXldPzkU0KpWRPrZBc2pi+EdnqNTJTc9ZN13hIjdJs6T2xqt2NHR
wcIU4BCMs46p7lp5sctqoW71xM9os2MkLya5uKR93MAk0XZuH4k3iRljZ2hZewk0M1gVxAm9Md/j
aQUn0T1PNqdXL3uTXL6O8MMe6Qv06leRBcYeaInCAk0SDxCZ+pJF4Lxj29yBfZt2RmUcue0Ym3Ra
f5IhAnNnrCsMUmR+I9WNa7wMVTuhabSfInipxHUkP7KQ618Qw8kr8aaNJiPYuqXxAHulgL077vHc
kA6alSyrrfdQN3AcVdpbZSWEXcPx2ZVRe7RcpipGcgVT6NSo4Ad5YWtZRYeiH15j+Fdh4V2zX0M7
1nX2dpy7dxWNBqhj66MQoXfGkIxUw9XrrUSEsy+M9sWWTXPEudb7QAWj98nzhmPvyOZWFRCAGjB0
q6TEfq9UKnd937wtgQ4Aoa33Xiz2AFU7PrAmuVZGHJ9Eov0kjDvcqUk3rvPKO+NuI5gt7cwN1r1p
Tbwru9u2XBgeeEp62gafNShCvz7zPX7ZqRiSTSvLNVXCtiib9jyXpBVNZHjuXFE2vhpN2p9gBLRi
IOhVJhYBY3IoPgznOhxd4zZFBXex0VegbI2ZxsjMDwcdxnCQu/GR5FkTG7mWiY8GTNDGxHPzmfah
XHF9F1vyeQooKJiSsBTyt7EdQvpOk101jDR9WWdOP0dgvog/x8n84U4dHksCv/Qn0BftIw09Q8A8
ThLWSTFDQwBiEUSosHVWtjk2IGxrqMzIJGp1Ij89/6yX25qJHhd3+XWJO18XOqavMN7Lr4u+/7r0
GUpSAJRY1hlGfBUG4qtIcJZ6AThGu/rvbaR+aav+J+1DlgboD5fZv9uHnF/eo+nlL/8AXmr89qW/
tVvS/CZpYhwXnDgVCJP1v61CxDcM8roO4eALXfqHbsv5RvNPwAquXyT2rscP8nu3ZXxDwW3SpzHZ
tSXBLP+ZbouQiz/jS9Gncvs6SKEYluAaW9wLf4hBjglqHed0braLHlqs9TqMduiZoxtNS/RHqDXG
D1mFPDw1Q+Gr2JoG44h+l9C9IUYkIsz4pq4Qc1ApTeLdjlNS70GisgguQpO44xwxymMYFsHEvqWQ
j33ADW+WprkeNWrKBtZVhVPvu2szVmmjrr8pc/1xTpiaw5bCSmaX6iGcc2hstmvdQEJI9iZT26Mz
g2+oQ9VdVAqShurURujacBWQYBlhA2vNifAuxI+6n7f5fJKcprpfd3KCGxr0INFjJyuOZl3d5aOj
5rveY3lCPTqr+5IRTL9O4rq/V0YBo3wWA65Oj9Wps5LCjPqDGWY94NM+KN81TXZEA4AXI19C6WF7
RRiZ5xEyZ7pkAKNGq2+nKS3fBcd7vMNvlfaP4OK892Kex9fZQJW4N2uvQsPsWvS7yaA529jzapza
DjvtG6yr+XCcAUV9toD/i+sRXMUzwEHjoXBMhUwrkLemmNDRJskhIoGKqZ4WlfqOAA/nlamH6A+W
w/gDwGjNhZZFjs6MfOQmcPq6IBAzFGC/DPJLqGP1BwH642dH8OZ7V2n126g37jXgxMklM6LCJxcN
IexBiBAn1zDbXR4GA0cn8P4d74qAQGrDJM+gw3irKi7nvd2zIgqNNryyMk2lz0ASnDuCSDT46nqu
HzWW8qwsMlQIkJeyVRlMtOp0M7Ffdmw7UOgSMmDlnJ8iNZfcx8H9yksm3jh96xSfFoxoKdpemKz+
HIfJPXJonJ+omImU5XV3MoAwgeM2Ymo7Fi9UksGqiTvrM8yU/IFrgA+5QWaf9RyVLgbpMut9txsX
DAgborDX9snINcDkMd7pydxG9CdefHJadbdMzsZVXkdXjD7tW9e1vZ91ncXncIgbZ0M6arSrWle+
1Yp8DbQ+WvbU17giV1C9EAc7cTiGvitMeNadnkfpl3NG+oT7JuWxyS2qGYnMezUxIL4iyIL8xDy/
Q/+lb+LCENVOJK25Ki3vIROi/1kLFwFB2fN5ZxdiR/h5m1RuWeBJa68HuLmx6XURQKAiIhJsjFAa
5JGTUFSz+BwOOstJGtduxsNTKAqvg2FK9IjovqKnZgBwBfU+bIttQaDDeFVNDIjXUbrIOnRpwiBg
k2pWfqQNxg0IQsP9/+ydyXLsSpZd/0VzpKF1BwaaBKIjI0gGyWA7gfE2RN84HP3X1wKVUklpsrKq
eU2e2Xs3eZNkAO6n2XvtTSNa8eEsEvXmxo9BnB6isnff4CEp495zddICcUiTfs/iCN+wi9tpDtGn
Oh45vpjrt9nEB73BLORhmHXsuJruXVqv/g4ZLypWC/on1uKA/9VT4o85Sw4ZWeNbx9Plb0xJPPY+
ig0qWIiVZhNWM13GpmEncoT03l3NrPBufA9g6nOuayz/qdEF2d9xmJvzgIKRF9sjPBE5vlW8tnyj
dkillv8txi5od04UtQ1AG0jv29iTP5OQBVKP9o2W3IzeYmIP6+W7DTKF19MZ4x3b2lzf8GSyRW1W
x6YFEuCxXV2c1ernFMYEh5cNe5De9q7X/nKCogWumQAdgBE/0dDwRxwSk/1SCdd6YRaykAiTW+6e
tVZ89MxGxWGyQqykl5JlsxB/ZG/Jn0ZIjyYISyoHpNTwWnpVh/yI5db6MbDmCevsTTHlqHayqh0/
sFD6dwMF1VsNcKtkOjTO9/3qia1aJ5g2bdOQIi3s2GDZG4xHYXXj3RCogKLbJxDDX122mSGmRw9k
Tegmlf3EAi5hDdR5lFPkldc3kbIDMr+LCdChmtNTh9sVo0yrrkjMnbeyE+PeamGzQ6QTN306xnhq
uSJLqAi4gqeY0tExwDnv4tRYsyiZlR9MRl/npu6MEKGYkxO/QVpo4lbNgwE3+ctcHcjpaLmvmEPz
G4EIaI8wPnritkz9g7KkvgJPm35BkXH/MLYcr2NbYj33queAYwnNqSJfd5cM9XPWuxMjryVpbhXu
LPPgWzT66LAdCsmBVQDyoTT03G4AiZsFabL3iwEcmS7ER4wgTW0phfUpX+3bAYouykd40mYUmMes
w+EtZUlET03DMh5Ndn47MMX+tkCPdCzLoUasn4333o9/HLmBle1nix+4M2Prb0Pa1Lknmi+hW0R+
fJ5LZ2m2GmfriyrGQhK+UnJ3VUPj3jQuCCiisDC71z/G93n1wHuG4UIcm527TOXBQ/VjlicN4zdX
c3vGrQSD58dUP67+ehY68am0UEZv4DNWT95qxS8ZZOJhZl3+wPfSfaLLNUGeaYGUB1fUky3pYdIf
l3+E31/L7C9EsOIFDRDI0qhMu3s+verDXMxlO3kdjoK28w617SK8rJs/wwoeYHrn31O5TGylqvId
6i7E8sBIk5uqZj5VWT2M1qAeeN/kCrFdAQgmuKRkU/bB/GhBE2iesRoYtzb0g0+I5zxgMe0AATW1
Kn1GR7RZiO1090uowf0knX54nNAaOzdIDfL3eozj+GF210GembnVr3plPkRwwhDrTXVr3OofNMRs
ZkG2H+JBEho20wQ53or3wfUC8NWr+eecsHIM+ds4zExDymHLYAzZtK34wzzqvEc3Q5TnjZqTmQ/X
Yj2sqw73A+kwIV9dotqMldo0JBEd5mXsvlfEC2PwgX83V4CGt6I0mME253HFa3graCOva8KZtZxJ
9fGKIXuBKFkdkhXRka6wDlhQ6KpbdMeMUNLiLbOQLQLV1Vw2M78cHcp84DscEv5wlZEGpEOXOts3
s7N8qR+KiJqc+Std0SKdnqS703qgUYt9VyVs0Ockv1gY20588EzPbL68ClWJV20DH6MCfMN4n8I0
waqOaRSVux8325r8cG/D3xkf7CCrP4McdB8M5GrcT8aSWojOmTIy4m0+qrqDdZKCWPjKZ887uUyw
vxyEQbshaiEV+K4RneIagMWmsbz8RvIt7Vim0cNmeIHeOtr936y3iUp1atRAaeKBfAj6WhBzNU/n
VjfVlSEK31vb1t597ZOvhlMx1TdwcWJnZ7txfeHUn7ctPNLlSLEDxc80o/iF7Jb13Bk5JrVNPBtq
WAbwbUTRxIAqI3LZmWb16acZVw2z7OWhLRUsiAbZ61fX1d5O/uBySpXnD05qk+4qf0b/MKEAa7H8
nu661uoxfSFHf4mXLrgiCsn9kE5guU9ZuByrmgH3dpKT+25iFk2ec2LWLspNnALFEuyfjtqyw4Rp
ztFeczNfqnj2bpNiHculZQchunYMmBYyMWaQ6755NFP8pR6Tb83GtZWPCAsgLPnVaD8Lbp1tI+L+
NQEDSAgqlCP8y9Rtyco+KuzOG/ZmgDaYkuSHnNQNAsLKEBMELoL0IRsWMIM47uYHz1H57zKenCfV
cFAfxQ+WieW72HmDZ/zhxMv23M9iT6pN9pepebMSC7yX4IfohD1QPJk9mKd6yWQaBolDhpayW3Ye
cxfcJqKWHzkb4Utptsav2i+zZ3NOgEfZGhhtNczymwTOtDljVKvZ/miv/IMeoHtdxmk+FksBBLrx
cmQlEDmy0JQrsUok7Txv04pT6KhUKY4M1qDexDNziQKr7cHsvO5UInQNweCbZqjQvu+suW8JobeL
4tbMS5DbbjHMb8uK1qp/KFtylkpCGEmnfW7VDfzMXJJ5HKftDqpWeiK3B4xd2b8DOcGWsFK9mPn1
fCO2+oxW5hdXEzavxPFvUnyJ3F0xCNBRgkGbbVbn6coOMzm8No6RvNorV8xtSYvjKWSqBXSsBj6m
hdPeTHEECNrvmDwTd3fwcZORIzRHf6OVWebaNeffjJti0050h9gnD3WJm22kRHC39jQw0gnq+jJV
XnKjskbvLXBkR0ujRVex7H+PKzRNGnPkw4igNII4Vl9d7r698Ed9HIsg/qSc0WEdJE9pxdFMdjzV
9EK41AgdZ0OEaIQPEJtjE7QQd6GanvsV5rY6dbdjOjJIFB2hBkiHN9zEOUlpY/cnVxVon2wsyFbK
IIpmyibvCfJhdzvygISGMbenViFEJkgguyV9ffhafPVn+aHQYQpbr1O6sSapcErOLVAMw17YtMfx
HoIZXS2LD/OO3Ptqh+yQ3HMSnjYIaO19Cnb0sStNFo1qmlCkgQM7g3BrbmajUdnWZxXz4C0ewyoj
E2enjq489o+CiLph6l8RSaAskui1fFJ10NLkCGWhC234OIcwyOOMxm3JEuCYxLaHGeyY1xqS35sZ
iwCTSSl6Llj1Isxu+mKVOV3EYgOGMUmku5uBEx2FPbo3dUTq7IFBKjpccyUJCpCCeaPbh7xcxeK6
O/YreDBHwMtyi2ASVEEtSKTc897RQgy/mkXflSvDULNv3SprBRui54t/2SvtMKbcQDg01XssvT4h
klARGV/re7yy/TPET+45X3nbmFZ5rwo2SDyi6J3LpbTva0yP105Sm886x/bSAx3/UBHoxc5i6FeV
GMSRIulffpXG+yKQ08kLovE5ir2CPqcz91imuN3Qq+4dwxJvPqPOnPy5OB62QzuwA6IauRQ8jWoH
AhbzUd1b5U4ZirUgJuAKk6LNOscbLQUFj66Nbthwms+upHjaJkY/fMsi6iSWtAl9j2VXFZ1JZyck
fDTpn9Y2cIOSpz4dsyWtPgGRM57oHbuIUPNlTXwps8Z8jdKhpvzOy0udOfanTd4F5MXC+qMzo7Y2
rJXY1TZ8Djc93c1e4KU1N3KZ0tdcTUz3DR9EwHPT6Ko6Tgy6mT6KrtmxWlvAwzbejWQCdAOdzaZf
mJzqYkHxE8d1QPIVe4a1G/JF4ogYJkCRjot9MCQ1x3i29LzSHwdgkFPfPCeF7L5sDJwbQ1vl0fbS
zzYjVMDRuqt2xaqHM0fmLPR1hbUVUe1dgXl2R+Sl0IzjabZ06FQtuGRb24s8wBJwjL2DZg7D5VhW
/isoP9s8NNyaDrvpYi0Z4/M4Nvt0bDGU5F3QLxtUuwtcxCEwvxtz6u99XCNvJhAeuUlIfySBtJPZ
e1ql7S0TnAqTGvQwAilYON8aMnPK6xh1oL46a8CFO+EmOgHEzyfY+DP6otEYIdfPvOSO/EC5WQY7
RfuGasx0JCdSamJutrzljqaz/QwqbiwcgICG8hinC62ZcUXG5p9hqmr2hhnQjb4ePnnl0vaeI19A
o+vL7MGKHPd3gUnwjckMWmfuIyrpxjtUbBfuvaABPdIybibSJnbO8DcI/QqS4k8GqDc6Kpyl6JCS
NseGsTgTs52gbD0qPgYGyB5tfM0CFKG1bVMMyISb6bUt7GPmEYUCR+hP0PS2nOv9iOs/XnPs9Epo
Qi7tgfVzJ153nSUzRimzRBWs6cQyvLazXxwGOZjbNvc6MJ9t0787kVpLZei43Dm6KK4wtCsvjJhY
PlS0L/zXEldLmBD8LDbc07m4VV7pfsWGxoLDoJ192TgjvoKrylzAI6vNxUN/OwaN+JVjbn0TpeW/
L1gQJuSMiXGpfVLAQo2xgewCR897f+4oYdOib2+oxIv9sDR5EUZzr2nvIFKokPgntKRe4sefLiDr
QyV6cU+KBI4VG+AbagXZA3JKfe+3YP5hbDNCFU9k0qxgU2qed/b7cCQs0SuyGYRzKT3TORaAfDc8
wU7xVBmwO5CTIwtJWnoPHC8x6wyrFdXZytDLETNT8pKU+FOb3VDWkAAiu0TlhmAjKpsborSjfteX
VnbIoQAT1l5E08cgaLD4SXz92s+yb/H7TAE/tRTgNu28W1CYoWcB+pdTJfdFYl19yd5q53ZAEaMa
UuxJ6AGIV4xA5ssG2s3cIp0Ma8++zzSQLuNWuw1kv7xlVU/TxeMp/G3Olsaz8KNNUPURBh/KCmo5
AxHSoNDmVgemtcWfSpX2HeRgkGBFjm57U2rZioeUVcqrCnBjqtEEad/PkeDHRC0nwtwAscMj1pMF
NfKooFWNgK7jmFPDph/i4Iq1gW5+sjl+ZmFlvyKicJiD2Layz5wTKTFBptXwgOYesQv+pMi2iiFi
OaexHPplm2aT/N16ffuC6IRcvDzFObrJbUZ6m5R8IjRJgtkjvYCRE+vXstKrsZbFXxP+tNNkt8xK
UxBo9/hMEUlKzk8O7CxGglNy/i+Qmt3YJG8CpWPILpyBDR5uRahFOjT3WVlMI0PafPoQUYZRV6r+
gzeptc+tiYwvbmLdnxvTHjzqZekEW8PRK1YyzZL9ZPcZxV5UgcvkWuJcmaqpKF8yZ3ChkNYLAse+
UyIk58lzN4YgCtIV6HQNW+OtGRpzPpO4gHKPLtKIw6adFDECRV1kOxvF9KONgbY5+FRGLS1ToLfK
5J3HGedGdyP8yjFsO7ijysxMEg7zkvFXbq6RnZyqDqqactojJzb78zyCGQxXD/ESFshWijBtTYZJ
WgrOgYV8jnu94AnfFNxstGCC9FjW4ygsfOzNgkzSGKmUOcYMi9jsg0w0Jh3daWSv0b4ore8hN/yn
FqQ1k0cYrhvXqDvYpxhGc17jAr6OUTTAyTXHJkHanTIeY1oN/9VOkfrGMDFoYPAgcLlYg7GnrXfT
b9et5k+E3UiZs9ROn4rJd1nUVZ7aJqNMn/LCn48QqRKUSPgTXpu0b04LuRivZKVRSVd+k10KVbw3
hhPt6lTK/AYBGhP31WQfqw6xbz9F1RcLHeNPnTbzNcPYYGzxcRAHITl251PBVdjCvS/Ke3rIyT8C
YmCWnQ/Bb4q59peZ+eXLYk5tGmIN0TuateQW5Tww+K5efyKk1s7GEYJczIQNqWWocc/UwtlPDBRO
jHRcFLBef9HmbAMELmsHzawcl6PDg/vUqbF5wsvLG5Ch0d4mdsyyFl0fC54F1yvh4tZ0SlTf7Bfm
K/F+GdnVh6WhmURZjRbLPnKB3x59Ht+M12hwmFvisszuGTbkwMgXa1jOjYO25Eg8isN6Jul8d5Pm
tgXwPXlOlCuQMlvzlxmlO8eAhoyfvNr4ainG3yxkFJ2AAm6vQHtzt2WJeMbUz9CizhGhpSR9XFvs
SFdqURRJZpBIIzRZRRmUbUq9CWnW34FN5czmhTnAqnkr/6Il8snMcbJiSyIsw37VpypciJbcuAD+
CirKVpSH/97P/qfUsMiGfJv16H+0o71NvrC3flV//h+n2r9/5T9XtPIfASta1HgBzfn/8qSNf3X3
P/+Hj1vNgWLkIm0NWCD+H3wcelibW44vwG3hQkL+d3ycbf0jkDYbWk96vulR/P9XNrTS+ld8HJJa
37F9H0EFil3xg5f7vxa0JimKLPspGElmW1qkB2ZdsSwAobPTvddTpXmReNPxbJIU2Aqc7Q27ngFh
ehtbW61tzp+oUcPziMDe2Uiv8/Y4fcs7f+q7vTUm3ROkTty3FimDmQd9c9PgOjhSVlYnvqFyW7oA
EMegF+Pd7PnjdBaALU5NXFfpg9eDj4TP6qATWtElyamVEsZkBrvoya06j3l9OZOy6snVAjURUUjw
u0R/D7mB8OkNREXOZjJ3McIGlTcAuouyp6H31JHYaAYW1lS9e0ykgrCPrP4PPxyUcABixUbETn+V
Gkh3CK+Tnoc5V3RgminxEIyC4cRYkfOIC3FAvuooWe9T2l5CJOFx3acdalUWIexNiE9qFvPWziMm
5th/uQB4kyN5zCQL/KO7sGzbRa2bSuacI2HPwDyMz7qPgmCDtDk911GdfamyT8/aNl2TBLpaMmCx
JZNqv5i7KgTfi8Isb1tSm+sh8t/Jiuk/CoxzhFUDZ/9rL4bznbjSYGrQNc2ZGEi4OSMGCmaWQP3w
Iq75CR6j9aNl2OPFWIzhMXPa8rdTJhj5OMTiYjer0XjXykVzHyEFqw8uUs8LW8aIeAg3Jnpy0QOF
XVQPxbVmKg2oHYUnMVJwBNeJj299iwbYTRgbVvGxyM6J9j0ZvxTqa250mrapA1y1hdmdydWP10cI
ahnhNXtKpgH/mlaXhhkE6v+2PQJ/UU8JE8B7NaWescmWrBxxwpAKQ3HVfJm6mxArZSSSzsgUuY9k
zjK4s3fCzcGMTsT84aJhcrvM5Ax1rmLp6FnzPgHci+4mmu9MMmeOmrXg68Si480NGBDhf/LH0Dd9
H24E3ZhFYhhDSoAWbjcNwHYD6Bw40nekVyA2bSDHEJQcwELl8ZSYYFBjjgjidOdvEawxatV8S+MC
1nQ2wMIafVyvIdfRLXno9dEuWXBVjqgOnpmUry3YkJAAegxFxLCSP4vfImg2ajgNJCBjYCuJpUF+
CKeMnclNmvCTjr3po/dM9YkFPTbCLp1fcNU3lOP9dOt00FBh0w+hMgXVLbOiILRKl98/JvT4AoRt
eXTswd/OVQbKXEnn0Nh4JqkLvOrbH93uEXyBvc1wpj4v8bi8rpqtYyGBJO3HTGGLd6amegXOYL+x
2cSDWHf9d5+gAZeWd4Mhvj+6OX83oWI41BmYiMtsl+pD2aV+rErX+hoDFhchxPjg2U4JkakSxMFk
g/Reugk4U/LNBIhrNzrzApZL2F/jknUwdejSXqi94wf0/Pm2HYeSbV4miSJ0xGeWGOzXSi9Chkub
8eT4MjrOTWrdsOkv/kgdBcQXKRPOf2d480Mm8dEh1Miab7iGFoMuf7yyeF6+4QaMzdanq3hZEGE+
zuV0kWzGhg31VdmyJbVGfk5DDWzVfOvDcQAOHdjqVSBPiiK6dxzZQ6118qeIxcNfVrHQ/sQwEWMQ
VGARNUfz0UGvEW+wNTnfecsUmU/eYauhc1tciSYjbbfvU4gShRc/tWVcfTH24e0ferjEtd8UFzZS
gx1CW4fZZfnT2bMBipOllS57irtg65oMu13GfzvbB0K4CJ6Btp3VPnZtEytC5La3sChVAwO9xXDK
ygvr6ux7alfNSX/xLacYKWN4SRrhIfrwO1s/sUdRB2gwwHsHMJvPGbOSnRCOumFPJU7AbaKnGG3B
R0QyzW1lLtGnMepnsyknlNw9TjY6g+wRN3JeHusxT7F+LQhTIifub0BskzFlGbN9Y1mzcxa5T5qf
wn2A1zdIHnJvCu4pp3BXZYvR84so3OVxFJjHcM51UKDMtLgmQ+x92pkx7oYhlifLT8xHp8rG29QN
BGJIqJgpOx94en3S7CD6Bw8lAQDHoZ4wHGet0fKSDfCrCnNMgQ4DqUCZy2bcC0dCTe94FWxY+Lp+
hJQZn2y2DLdzEJVfk1bBl8FsEsk09H6AlE77B9uY3E+wlq+DhcNwcSu5Q4Tpk2bQNr+Zd49fQZOx
xIhBEUPiM3LVbwAatkcBycCgT1yFx1b1DQCa9cJabRx7o3P2g3JQSNoejuQumupzNgJyqwmE3wwz
hjS2OWRKdgghb5JkyMmYdw0RtqZPtGk6kTa08ZtA3QcJx8uGDVaJw30cxi8DwOaEvhpkRULM4rcz
eGX/YOV9gu7Gd9kxjqWs7qLUJTahT+dHwrCYAQetbh+rWpZBqJmrIm/PUM3nWLfORJUqLq9B5Pda
T/FeJmV9m8DrYSPnZPYfWY4gRAy7ZzEI1IfsVG8eV9r2YDKJKtJX7mzMGQyQmGJIdrKflWd4p4Kg
kEMgvOAlYMwRWqj58YbiliApwe6NU5GCWr1JIZxfnUqt5nomM6cF6YV7SqrZeasbU0wsiNsbtDcC
Doeu6tsBV8upg3LyNKFQuXWDJN8z6cPE7McE/OHFvCyV5hcScOiuDKvuzQtU/Z34w/JmjvSTRadw
ri1+sc0Wv3oKIuXCb3RgxkP7EKubJOmZZjqUQx74GJIQ20bcpUmSMgVS+VsdWOKOgk25B0ivwP+U
DopzMPf+R7CgHppS8W66KH8Jup22tuHyOMcuiMS2ca8G4lNkXXT+xE03TLUqqeVLJrq+2jVFAETQ
y4uPKjbHV5ujE8S53TaE1VrBLsG3h9OHNuRoT0VyK9K6v5ln6Hs2ff4hiow9IqiE0KEMfUKdjgwT
bTZQdFNrE+XI/MNnUwpBqHf8YwuM9t6Z+wQyjWUOfyNPB7t+ItqawmhnNikANEevLjX/OI48/n2X
eyer86/uHLWHMRieLTk0b61btIfBbRmTyAEMHpnRnrkm8tK/18zpn1Mekzc1rRmr0bAcmZsOJWZU
K32yl2CYbnvDC7KwJtKDFE7Hdt8D3c2/GlrrdDNzqpM0WjCy5PqJdH9cfmLMcf6hUI8LRC98zKx5
ot7THNtN8ZEqMfJLDAaEQzbX5wGZohUuSZ9fsrniTQ3qGdH2bBgXUafXwozlZQUbX1Myho0QuwvT
c3fstxacSEzmZm38bbzSvHZ55hyzYubqreN2H5uoXkBlOVe2I2SWZ3vGy5sGqfGdLk3zjBmTkI2y
hZ2FaXYjq6QksxWyIKvK+KL9rkERaN3LMrXuBaUyHmZzfIxUnZ7zpbD2uUFUVthZ3LGgJ+zECyVm
4+0Q1fYecnR2bzGbOMdqtfYCC/TKY5nH3V2L50lvWtqZV/akmP+XjviNrc2oR5wUBeJrj3nU3zqT
G78qzjpusNl7auRoZ9vVUeDsLVUVQIwNPzDQOAc8ne0S3I/zTPCo7IjYBhE6wxabp+WWkGH1rpGl
EhssZphOkmBrtxrEqxa198hhZ7l4qMzkgxfY3CM6rSihDXzuvDPVM7uJ+K5BbciJCqmZkEr0oFis
k+9ADLjiECdKgg+oN2+qNRR5U6AZ0qErCZc4NmVn7x3t6OQIDs6pODVny0B8A2R3w54IO85ilnxK
Xcz+z+0JH9vBzvRsFLCu8YUORj8jdyTht6Nm3zZlVT4gje0/aimIoYXSVN2RWxAqcHpdyIqFEmd2
B/PB16L40PlEh5a4SB8fdJWYbJ2UIijMS1zTBRwZRdPWGiacKcgAtXOcGsul0uRRPkaDHbxFsqfR
GWQUMHCUPKph2Std3yJkN7BPVTMMR4KT3rQ2yLfshOmfgnlESZXZcfpSG345o+lvZ+hSGUGFOK3j
+tCosp33kdlhqEDBjPKnYHSePHSOS8tRFDUxsH5iLVx6RYBq3p+feGeIdHNKGHJEqVNrcPqfEA0e
276sTpPvuG8cS96TgDYJ8S0K1uV49zzN5B1TTS1voFwlmgnCcMBMMXQKW6AYQE2VWMR/S9j/c4bh
fw46/kMZOwlXyEKIz/5qk//flIQv/ueUxP2Hi1bd9Hwfp1ZA1/K/hey+ubL0V+swxhvT8tY/+SfT
x3b/ge4dpnAAUsCTwuKv+6eS3ZL4kH0mLmy3+FIpnf/SnCT4V+C0ANjlwryxoRiQ+2r+C2kKSy0L
imyY9tKtExsdKT4caAK8IXOwRnQ4bJIzsi+YOG6GeE3nkbJhmO9ONuJhUoJQIwbCPlejRUXU18z/
+6hUZ0/K4jnn/rl6VpTcxFM9XAQUnlNbSgQGrSfLg56IG5ZOAx+l0skf4oEWJFFz4aMRTpzkyK6+
eF3iqiCXHvDfCfa2i0EMt1xojdH8KKa6tDft8hz3rJ0Wg7VP2fsbSlpvR7x3C62MoKjJp0LeM8vu
c5ZfcdeFhJoaMBzsUWGwWkVkaKDM58hLi3dnmuLn2q6hxpt29kv5c3w3F6rEFYSk4RceIe9zYt6A
WqMHtGCPbRgggfRIEkzB1hUirDMLAHTGCusyaV08NEuewYfht1PZ0yk2WQFbZWKHqQMll718zGGJ
kmchi+6Xn/pTuakYkdibzk/zs0pE/osyG+tXHhfBHxIS4xe00EgSsRhHzG4l2CYyAGAhw88bdwFb
rA1otAmkZmzfMisyQjJWOZZFNpwQ0r3OsEvhDttTCihFVxOa6QrRyjIpxBLukjtbkBTyjrFV9kXU
V/nXJB8zOLRIeg1YhfQnGzOYNeJF2A6Npw0He9Ni83sYQDiGokJgGhsODG5bjPFd54/B7RRUzUei
0S1w7q5pX2RFIoQjm4IaHBrOe1mUMCSdlSHoaP5/aHcYiuRsfIB5gE1A5+K1Ff7YqIWWkQRResTU
zFirrcZk79j1dOxTgxkEuZPEpsVi3uFnRI4LwmalpfBYv3SuY19yEhrOkej1NamS+itGz5expECB
cOpiHsVQsoL9rUoIojqAJM3mUaY5qI62+bR67IybxRKAIzIUvpRkTnBxXYvUG7IqgnOW1/pSJgrx
oF8l9KwsEdpHH+rVq3YZHGyi0jT+QtT3YE1ZVvuOkqREDylqCLozf17bwXhFL8CNHQPtQyLcsew9
jjaKsA3qwOrUZVxUY2ETdtchJ4/pV14ZrjUI++rlBp7l+t7mil1JYgxMaAQLRtMKTFg63qTCyLTz
XzEv1/qlUcEesS1Yj5qpZv/vYl3DApuKS2F4Brk8bjGZbzHu6HfBIwenRUFxpLXjA/RR7dUHh/6Y
vZEycQyY2OM3UmH5XeATg6IXf6PCXj7GeNqRvRU65ej8rgkxTuGkZ+0vT05lQTaOO31MyLm2IJcA
w8ClvE5j35wT34GOAXHhtioLBp5e3PHHkpRsNU/6bdHSTdbxkks/z8gymyANMjcU3YbcvVWo3lT7
fHYozyafycecoJyflx30+ybEUb+q/pP20LOj3Cy2jF4DG1cmFFcZgLANRGgQlWOzFW8bFY5xyR5q
qbjPXZQGVliOU1nv7IjscVIAVPo365vkZSEj+oSSPEe01aEm2RjYsd8NXhRrr2yHsoslSP9ROlnS
8ooQh8cKFCcLo15vHf5hr6SHzFh7lktDPWM0Hes9j4Ol70V/jzyasmImJvamK7V+16Zc84irP3k5
ZHgAW87pgRDFUxLkibXzKfUpSAP1YnZ2drf48LYpHKbhzY3i9uxESfJhDTJDv8z0etfbhkd9P8GC
DUuJeSFUCkKlJvz2GJfdb1OlTOf8asD649ve6rYp1B/XiCW807Zn2wj5dLxLGWx3ZCwgbNxqK8sA
XeqVuIwxscYH6SkkTmAVEh8ZQ2wRi2oG+u+MbaYLx4kZL2vzIXaH8khssLqNRFo9lPymVne/txBq
NRZ5d7B/ylC0bvbeTUVnHsufQjWL8b0g1RQeYt3egYEGQQDQA4+m+p7G2b8117LX0lr3G38thru1
LK5+CuQF6/C2GJX6IGqGmrIJfP+xa1r7dZY1ZTZCMftskur8EqxVOBRT/9YnyHqdL65lut/EzkPT
+dUDNjT5omaJQCHIBI+P1EPh7OfGykuGssPdLDuxQFegJwis3ixBnEvr21Sm5Z/4DmkgxE8zkfiz
/9FNSGe5oGx9x3tL4xG5eF8Yg3riytnUnoe1PRnXRsVBOr+dfrqXyWhh4RQ/XQ3ySWtvrK0OFHv5
Nq8b5KKeyoc8C8yQyh2481inF5uVawgTzLqgo6ixPyeK9sXMXxp65y26yY/GlM61awb3kq+dWb/2
aChGzKta+zZk6rRwLC2hLa99XfbT4iVrt4e5S65Dw2tdm8YlWnvC/Kc9HFh1Xoy1Z4zdBgcSGxXQ
WNx3SwIXriJxsuPXloQzGOWVAe1P65NQOM1X6lcRg6Q1WWqQBEPoNW6Kxl0CPKd0GNYwKkQX6dZY
1oSqag2rqkWhz+UaYNWMIv1Mu/YD7ctyQKY7IaxkYCJFmX5F/YwGBzfMky+ZZiM7W41YSbVXBoGW
IbZEY1eNOJfp5x3QJiyL2jvpleVnkQxMUX3LnvydWeSowqqWsNIibjhcNCuxm351zajVP1MZbQJm
xCR9XpPMWxLbjToApkIIudc5uBxAYU005NXjaiEHDGhCqJlOEYqc+2JXm6P+WqxsvPM1/vYdJ0Jy
gxwzuY/NwX423b65WH2ABqLDWkN08iCeHS+ZwRa7uXUYtYMbzJ/8+xm+U3eqNMNC5r9JcScyWXw1
jPA++jnPnzocl9+tYqLBrUwpEdZo19DRIpwc+S+w3iHL9FVxSTERIQFw+IiZd43RsdXYP3Au1DNR
Qh77sXxuLnlTMWRwNSKKDZQO50sgGRPbLouTV/FjaBoDvzbgsbTJyY1h+2uQGpjwE4mcPUv7ebwJ
IqkxIM2ZeBv+jb3z2JHdSrf0u/ScAjc9Bz0J7zLSuzMhMk+m6L3ZJJ++v01V1ZVUgtA16AYucFE1
ECCliYzgNv9a61saT2ShejIoBqn3XZqLW2lEpKg6uwUkw2xQPziFG+6ZAnXv4ZSW982SuzIonj7h
DlE1zynP6kxG/uJO5nTBJQS/VzO1/p4DrGTkpPJbkegwUGRy6Eai6JFJ9mmsX00jqe78Nkm3NG3O
V693QrQF27LGjV03vKNNE890JubuV2lZilAfGdNVG4Li5JPY3HPZR1hpZKdtGU05P2eUfrHxGmv6
6KKuwkyV0/RmTdXwifEpofTbbPudTCNAP/0s74e0E/1vr7JW6bXKqod3f3CfTJVsk7O0X3k4TYs4
YVHd4efDjlfnz4y9HjI8zptRJeN87u08sxgxcDUS/C9yEl1reMjdhhkRb3wQOP4rSXJ2kKCSYbp2
lsyda3igep2AZj5Rlg94jZ2HIXeqGy4v2QVtNXuDamUnuPFb72eq4nxzSkJhTQeGfR09h7ERydMR
W/6kT6dyNIfpkPpiSE/oKXT2OSHFGtQY2j8DSlL2QaHDilesRaxGlasQEI3nk5QP54Ng5/rWiMV8
09/e4JxJUlSEfqYsYuPkvNdwiPD1743Sj58HvzXwy2TJ26xp84Pu5wETZBhi7G3R8CJS/M5MCbIr
w9r5bo7N7ttcNt8mSDA5knLnDBEGDxPek8+x9NobtyiqJzSYs6hD3HRRPjgfURnX4xaza2TSWoSM
vjacqV8Ns2Heeqkr8WWGGHEieNm8z5lN9YdeWCnNUH0yH8ehblk06hKXKcF5+41IElHGnrlts6JC
QK5qXa9+WlrdHWTZxDcljqn7OJf1a+PP0Vdb2/6BxmfxMgjVmzwyCTv6Q0/bjZBM4Ok/7MIjpeWz
dkyx4h2AoY7nlKiYWNlT1P2I8BEAkW+6nuouM4eM6lDHtiJ6lFy4EsQHp6HrpRr1mrxUQLO2gBn+
YE9UUzP0LABWm1U+Q2kJ7Fng2dd465yyPeV5EoDewNQFCC8Q5R2xofnQ4xzkdGP2CWJgmxw8u8DY
LjVhPIR8Mg9SOMWnV9Ldom7Zy1g1zxAZTe1Rx9F/R9lG85qO9XRMhQmOEAsu6rkZzOtKtDb/ZqDb
RGpGecZ9U11KPyRpG5uR6q3MkKFRxZroAB8nvDXKnJeAtdul0J2R033v5782nemYPC7g7ZssudOa
WBVNZH3JfIssTAgqAgP9pOlPiR34D6OBW8vyZurL6ahxUryJVHSgYZvtqY1tz9g4s2WR8mid6tB2
tb4mHBdrXE2jRG3KcW4fmq7lreEYr+f+dB5s2Zw6dqSPOHXoLy3igO6SESc09ifhZtYm6rqABIHd
jViDOnw7aeuQR20SkhckHB0Sf1ZEW6lJYCAd5q/cE85uHse8U8fIvNq66Ja0zzlpfPTxoH2PYVre
hE3KSqLR6XNfC1d/zm11p+jwv29Q+ycCs55obrENmpfc6YIDaM7iMKQuoZ1+itDXinyEFIaDfY+B
EcBnPQQ/cBUqj48zZ7gUrdo4mg015a/khhUQwpVotf/j9/m/8fsYFg6cv/P63H7FbfTx+xHWP77k
XyYfy2F+xdRVV9iE/8LeeYLBFv+zhW4t/p//aok0jF9s9w+jrd+Przj+CIevEZiATNv/j8ZXzl+M
r4Aumw55BKzejiJm/4HDMDi1Z5W0z0GIrxEUcloDiMNo+k3kNtG2cVvcCZUItj4NevnWyPLgwkqS
7YJsrM9pkohtMOo5rdxmjNcgqGjOMww8x6B2pNvsjcJubkYR0zDg43PcMj7yBM8ezyL22vptjnkO
eqPMjrGZMRrnZnvo84GejLZXsaSwuI0t1+pWddgN/sY2LazCOZ5XeMOThcvbsOAdHQ0vs87xGAf+
qq+sFtuiqd3IpElrHlzYi6vcH7VvJJkmV75J/zP2eVJ1XRLesJP4VEJ1J4uZzuWFyk/ntUWt49pN
rxWrQIXtbtXEzQAmmR60DbdtCHVd9i5nPb7BmfIUcFvgFJcPDLKc5sNxZs5eRh09BE3nPLJSZYqw
ZezHAVeBDuEW63XBcRNdh3yCDhO0yXYYm+atz59uK8IkwoKK14VpvHxoCpI8qe/deOWYndHlAbi1
VAKElb3qkYUeyI4kx0JU2RY2zPRjZBZ2iWzyqiD/tAIHK5INdSqeaZ7o4KZYgoZ0kqUoUNHIkJ9O
Gk11BRDh0DjCZLBtSG+OEsduHrneswhn/c6Z2hHfSJb5R3IpRkuuJqRKxRyxaHu50X7grqJHWxIh
PnPsIJOhl7R8kVUj65HXHkeVnJW0OstKZKRH6EfC5+taPTJoFfp3EOCYmTodw9tdMVnFqR1hstIk
wYRSD7w6pgM7h6HKGReBiHo4slmtcY0HLfmhDb2BrMpdo0i0Ur2kAbwH1UnPVdfaW4Tw8ZK2+XDb
sc7zVvoD66PFXJMsumyGR4+7GkMDiixfe1s6LyVHNdoQZCPufdt3uJFyo97YTVAeemL2h9y3pLLO
DNNrp8MQre04uW/Z5Lc4WsMaC+40kfDgJQ27PqNL2waGSrqIKtOHyO29A7Q+TtVY0Xc4uJnikBEt
D3XlljcEq7tdODxStUNZnxx2Lhm3UlK1V6bTcO07/saCjPI7Lur+zi6bgXwcKqrXFLcdtCUOAXR+
9+N8n3LlIOal8ScDyb1uiITf+BnayR4bVMdTPY1E3TheS2YiGjx17uoNcwxGdfNaq0ZoCJouv90k
eCcG0FyImxQ3svbHY1hB+8Ay4daHvs2tC9lTWirm1mtXWGyD2wQVCBQsZ/QzQ8UGsLUUeNgaPXbv
izhrOR82UUeaK3NvWp8x3ohZEApAU+GAc/HSn+0q6Mej9Iy2J7oaOvFWZ7g9/bB03qRHUCCSW01R
fiELQWqDwoBed/H47PvkRrC/ileNA8V4jBLl9U/CgYYmDvGp/pP+qMC/FBgbko2NsYG3okwhEfau
h/Ct8e3Xuhim5whsy8buu/yVyyiauDqL7qmpptJ+hg9GJqNnmYZOZurp1rX77JX5h9z3Pv71NWbP
l7725UWYXXvVpF48Z41tk6o2HBJJdGvrX66buAzwg+wG+HVK7E4LdkOnTnbFNJu3pRinTy6V4j1r
xmztNp19GHmKWGGrkOxPVz3J2CB6lOmzTXNshkPtKxy68h5+XvCdaC03AbIPX40cyZQZOt9YBKB1
qSucrXE/4g9pn2INtysCZeuF6GmwnB+mFk8WV6l2dHYuHY/WMUxMKJE4kuU2TorMOcDATINN3suc
w0fuVsYxJyGRb20jlv2K6d38BJTAgA4T0TK8sqh/iTYtVTPO3gCMNeBa9tObkbA52wtFY5WICKnP
PdqrUQXlfiIOgPdZNbFk4W3W5tml8WgQ1axxHJkJoqCDxOJ5lW11ov6I2FTPCHc/cRK7CZl5P8Od
CMmd+hCFZ8uofvQNL4dGGh6JVSvHyt64fW2eQwA68652c4jXaLJuckhDhNt1wCDxpw5BcSJ8Mvmf
1JaSha4W32i1eEinxU9KgAVvqb74TClg4TSaKvtpuzhRaTPClRosDlW8dNgz6sW56ioTq8xBHR6T
Ge6BrAxL3mTK6woliaeg1fJzqZywMoDUhD2CqGFCypxMAZ5ZV7ln26zRP+pufrAGJGIS5kH/qI8p
jlvmv7BAOuCcsPvpamlXxpw6H81i000paHpt8IL41K5XSXggZTNE237RPttFB9WVJKpPEiAjQ+9n
W3TysSPvk25KpaM6pu6fa57h1agZ1oPA8fmqtX5+ZsG2Ti0tRSs7gVwp5XQz+5k1rnuHUl7PTpE7
5pOx6LiQ0Dk7L+puvyi9xoyZlihF3jI65a0MV/WiDLeN1KDtZpb5K7of2nG16MgmZoZnOzIH9d0R
mlORO+E+ZmT2nIwJ652rOx00jNLvmi0p9e5WW9RrTQnZuFbygygS1O2UTirzQFAQ1mqwKODOoobn
eUNHUJu2WCaxJSnFnHq+busNbUZOM9Vvm0Vdz82eYCG6TsEZAsfoBtxL/w7QML/tlURfLmp9GNrt
Y6skfARO1Hx7UfaBorLQLHp/tGj/Rmblt7xqZraRprcH/Aeo52nUt98tSg1pr1BCiQtgd7mHEmuv
R8LMdKO1Rxk9cQk9YsFGgddI53W5vHFHvZrXYBDAXIS2qL7EMnR21fy5jWqEGkvWPz3A/4dKzal7
a5jx5C3j624ZZbMzzduKmjfVLqeH71ghm4utJ8OrFmNsWOlTm9wMonz2ZM2gPAMHIbborfY5V5P0
ZBmqR4zXdYt+aGZQzdusZu/NMoYfeibyY1oxnAcW3kG5wH2UL8P7zOFatCvSvr5LlvG+FqhRf7aM
/ckt9+9xnyIGhDDMxC4EqPc2YTDLuHGCkwJuSNZYs7zwuac84Rt2NgVIwSCzcou8yk06XoSIUWkS
8yJPMHFFqqhbfEcYrx1/EygtY4B2+jIofQNWZbNvHEU6UuqHpnSQGUGEA+kh5V6IgwU5a2cp3QS4
ARJKqtQUU+kqBECtLRQrlsA4T9tXGfvp1lJaDPs+sgzXU+MUKq2mCzOu1UMon8gCy3VGdm5Dzc34
7tOena3bRq8/Q2hREHWiyPyJgLKGyLQN0nJ+p6H6e4jhFWs0hBzawBjEyptI0pGrRmFSiAiS74vw
lMYRTWITU7StRnHxm1hEqqguEazm0bTvTKVizYugZS7iVthVCF0Y8Q3c4H6RflaLFAbXh44Fq+Qy
6yximVP61aFhu1h37AHHkZa1B4ZF8iVQSpu9iG4t8luvdDgcyUhy9SLPae0i1S2yXaEUPNLu2FDR
OlDIlMLnKq3PwBhmb3LiU9/NIgaC3eR7K4WQFQieZq+bFcKF0hB1pSZauoAMZCiNkcqy5lFfhMfA
IYgKVqGofziLNNlWCdhXDmjTu6e0y/43GXORNHnwOBjGSun0leZpi8G8MDMx7nKliHqLOGouQqmp
NNOCskN7PSglFbrAeODTg7yaK6XV6iY/PpRz7J8d06U7XS9dtP5kkWj1Ra5NoImDmkLDzRY5V2vd
8M1QGu/ERwVc7CL9dqWJBM+RTXzQDdqfhFKJpcH8ZTV56gi2yMigZZGUMx1DMIIeCa9Zac7EFcEM
4BVCIp4XWTpSCjWLRPKRSOneZJ6emJtJadn8zZC1By+m4AHoCfUci/CNFIlbCi2ch9Vax0ofHypT
nITSzD2lnkd2L7esqnSkLeJ6vAjtYhHdw3kKnwGEo8T7Fcpdo/T5sbeTS1PZvrFyFwF/aBvxaSpV
f9Rp+Yu11ADjwr1RglDaltgAmoAOm1o5A3xAsrdmMhd3GKESqKoapcp+iwuI/kU6IzCSrm0WyQ8/
09HHvN7+EYNU+RwXU0K1+BOAw3xWyrMwM8597HORvhlIzY/Anrj/uewhV+pyA7mHy4ME77hGl655
sLBFdLpNRYjyShg8Ftsxh1gMNucgPcInRfEIfAZbGyDW6Z4+Q7BmVmWCDYe9CJZWGTOY2GRgoJBc
xpnDxYZeXUwc5IqjL0c5OxQ8bVsrtwfQqznc2coDEhIZv3OULyRTDhFgKdkj60V9CZHy6UBRXpIh
jVB/JMYp8KXDkyHp+uANDbh+vbsJq+2o4Ogo0s+/G3/8BVv534ND7K+cfcmNWyqopP9xolDZtnSz
nLKr2quoS/NcC6d76WhnSlqg2Wd+oHJT/+oa+IufiJmn+h2633J8wkrknqgK0H3Xcf7U+U7uss7N
qpv3KUXT95T1dFcrUp1HjPVO8Zy5e6F6s/7+h/4RIO3yQ13dxHrv4SRyDWEyJPr94MSIRTkHbjru
JfmXCxeR7g4YYYn5I4meqrnpd1wCnSOKU/29/OT/bx0T/13RqIZjCsZX//pk/Bsa9a7/6n9G36QO
/jCO++3L/oVFNXzLVoM3m5WfFN0/3WSu/YvNZY2xmyNs47d/8w83mXCwjBmYu0AAOj5Te4Zk/3ST
6b94hDKYEZoMiol8/kcNceqD+ocPMis/zFZUYB4b/vFPnym7AoHZV33NGcZ+D+jvbT2OCGHYE8eW
3JHw8lPm6buXqjB//u4v9RfP0L89tX/60X+qvzASQYGA3tZb30o5WkWwFKJkPlRp8Clr8AV//9MM
9Up+/0pdQ+copU68umNZhvEn11wSDAnON+p0kZksCmQCPA8MhzajZ6S7qa0Qa5Jkr/Il2yzrva3v
Du4aup1NGqd/o7cGoMqswsvpHTDBGzsZ12af2atOD17rGvdXCjpvFZfJWZgUj/79by/+4tf3feF5
OP/4rPCB+tOKYzTgAJyhtrY2tP2Da5qoWkBgoJwOljpXzWQ72LA2uMHGO79P4kcrsG8NYoibwWCP
1vv6LZ2ZXJBQe9es4hKZFsoa1iKX9Dy64rHjaLQaJf+tkUv6qFQ1Tyi9vVNGxNO9qT6GtaE/aYVO
606QNQcgphvy3ABU7qeS+BOlxYMdPVh2cggn+QlTYJXKaDv02CWCoaPcJL2nq+6hyqZHq/6aVO8d
kMwfYzzOe3eiiIBzs3tTNj5+GlGlR9/r+6MRETZrcRRvbI8XM9LGajXC3BuZET45qX4PLYIJos9P
NhFsLgZ8lI8k79x96SdMHXDCg5QnTmCBMHJXDvTJjSX6+HZq8MFY+EcOupuyy7kYkm0t8E8WNXwX
z2PnIGHX3skBLWvOW/AKben9wPHmUgQUl7ceeQuOp2r+zJwN7FLgb20ZGZ/4Xobvqu/00yDOSNvy
KvUZ2VCHPb4j31DucJbOp6LnR+jKVzIU2D0Kt/qK4+QrDkvniKKO9miQRrccca+1FU6zKToFZB+o
WDrVdHhhD+D0wltjt1NzEC1fUCW47GQeJBu2w/qGC9h27MsnlKbi8vcfSENN6X//OHHUYIxCrI+P
JCMkg8Tw7zcjPyxFTQJfbPssK4DR0hKPlF13EF0Juld75GLzKY6N8UK0QPsRBbaa8CowRRDXjLxd
85ku5vWsRnay773vsfCmRzPVsz3+9Hbt+K3+AJ4zfW3rvudyGei/Li/hfza1p6n6/t//6+MrpyYg
brsm/tn9cXeiV+F37/ZfbGpF8vH5F1/y24bmOr9w9mHjMkwHuREJ518bmvkLKxSSE2YBjiu6z5L+
jw3NRF8SgrZT17PZ0tTH5R/7meGzC3J24ws5Tzl4dP8TeQkZ608fTPZTh93U8BHF+L/1p3VeUSSx
oBnFvu+H9tCQ+yKjQzhK3XjvQDK3Z1nr0yYDlYBT36PJJS/CYzNS3e7rhVj3TE1fvGKyv/yGNAoW
DW3nIqihACTjWUsL2k0s3GNMV4OTlSP0hOP84fQWzKmYhAj5P2fMzxo5hQ1PsbvCi9YjAMQMyrkY
MPN4MUrrC+7DWiXTTmlb1XsDLZwZow67t67Ye6HkxMw+XfGc2TEtkyQIsxOj0YIwyDTfcsrMf2Ls
0deUkzqfU8wFjp8nb9nOtZ2BxY9nDQDaC8ouvdvawOxl6uNN4wfpD9Jw2Sac+akBdDHCFdyavwbd
HI4MdMNXixrJo1aoxhaHate6yO9p/yzhR1LIkAh6amTjjbe95nmUoNojgKmW0TE+qLG/iwCCHLTU
Kc5lKPuHibSP8hcb2Au6xHieGGqGzTg+xokZXtvIQkwLhnJPCekdA/nhufP18LvO4uYtdqR1T06I
kJTu+XexV5vrsaErM3eC+HFIcoOCu4nWpqG+i+xYsHTU9rHnb33u8iC+DJFXvEiEQkboZE/GNkTO
wQbT1HXyIesqvkaRx6CwjoUg2y7d4ZHVPr+6VfQdWOD1ZiKW67Z36jcHfh+j4Kn66cy0gyaTN29c
f3yNjOqQRvapp9B2G1dC3A8UCm1jD4Nc4kr/zXLG6iKmyjqb5Jzoo5uzLxQBHDQEZkn4JJF9nUBe
XwtiPWzRlm//rMjNAe6ixL0duU2lUSNPuW4FVwmd9MBKDlJMeJCDC824wbL4HTRnYbyZVIlvcQ37
jwxzy1Nmt+1mpv+B1laMrts5nChTz7WqmFe8CfkdxJiU6OTc7n1tnp4NDIcQphA6Q6usX0U7T9cM
P9kGZ5p+mQySwiGjwjUQbLkhPx4zKcc0qfqNmhJuSdUe9CgAeFQMHR5G59ceD821Iy61rY3a3zkd
chJOzPHYsctcuek8Q2GvN3R2dbs4dr0de5j75DObQhbOsw8n0uqV08ZQKW1Kzhk4M+pLGgZfNYHQ
3VxADxgnrBzapNcbpy/1LT5fjpE4c25yp5wORt27+wxWNgg8elJGKoBMvODQxaubwAusjZ14a7tz
VuTNqv2MB6zKa8ZqwXpivrqWRvmJ927PsCo+M33yVlWvp/fMs2OGwuCrUgZ4tLNYOwcu1d4I4uLs
Gbr3npKyGpgUFsO9iGv54OCjt5z8s5jDrT23l7ZwfyZD4dzNQeodKq2xdghlAYuP+o5545lrKWS2
ruYH2VoPnoinVZ413YZD5vQY+jF2aYn5DckAsFEMddMurzjWxi3jwmItekd7KJ2qf41KiY4p0nnf
pI5+i/21W5dTIc7IqN2ppFBtS5eH+03fUbBzSse8YbzLw8QxehswQXnE689fdbQAgE/+uG6HAZiM
Xc702GbF1hNk1ZDkqvE1zAPvSFcLjbEpJxwO4uVpdLVYgXja/VAmOHxKG0oOPl7upzP+zaAP5jsv
nO0ds69WhafdFYiDcRM2vNtTCsndxiFMlDrq9qlfZ1stcEt4HT2n1h4cycpyzM8qEQiRGASnC4NF
TN56N8IILYNXhlXzGsYNMFBfDie8RcUJgpp3iHK/+AS41J05qenUtaX6Aw95hT4ewcjkOOjE69GQ
5jPxURdI/5QRsS7GnoOLFUFiAq1OzSptS7tkYFA9guP6Gv382ZR1vcURvtcy+hP4QxxQWNwNG4b9
NhTafd/K6xTzygOqqIGfqzE+lVWUYyZvlDvM2zzzEvCTlHSWOJU3QZP5NDeQR9qaTUR40+95/mmj
XbcxXP6usPW71s22qY5QE1GPpBVYiRKuan1i9zQyM8ZKTeuczCUsCN97LOYBrGPJ3k2RnNU9AkfE
nd3Lr5QZGn40GCpBMNxERQxsw7E2aaLhSvKGZh3jrt51pZz31ElXe9NmBbep2aX4z6zBrHHaRbC5
jwaikA7J/dXAN4C0WU1vVcKyQbIgT+zD4ASweEmBrgFxbNqMlGynk02hJHD6EXOCf8ArOJz57hS7
DaQAw/cuZdXP4iemIlcjp0aGsAHCWUhbkXKY21mgraOxjS6NRmXnWKbWkZ5NQhO88lc798331kzk
Jq49QsV2fCi6oHoM6bXeT3UfUBg1YArEclBUb+PshufambpbN5+qc0ky+hvVHQ4SCHq2wYlLRpoX
u5YL+8adqc5tHVjLYL22jt6/9cZwpfj33Mtkvoo85BpDcjjkSYFAgs9+5ddxCe0iYVEdBTUQioYq
zfaCnUF1/OACizrCHYlJkQX3UKEqlevErFZAv2DDzN0RzC8kYq+6GEgNOA6Sb7iSvr1zCoQj1BCj
eTRDWV8q79sdTflrDDQEGAnkUxnYxtnGwVXsBxl39MCVsvuY2Ya+E+yWGxyB2R2m7Uo1Jo812xv4
rycAcSCsdN/UNjDYKN2WWVzfT7jyNlOFx0abWsDZnaIlxhDmXlh6kk1dBeO+rYt2JY1J7nWDSTdR
cuAikCfXk4icRy2NRoqMpznfg/4Noo0ZtU8Vs3nwA96tp9lwEcAIEnsifFtRhMVqWn1n1Tg+Vbmb
EU9wnV1vZezeppn797iJXkZ3uCsLgtNFEV0Zju6cHrxVZ/ZveICfG65vK7NIzXvmKuWu8BkDsO35
N0WQc2sFKOS+JeT5V4TTjlQB/kwiaw9QmVwMeP7YPciOwLNkFhxuZisPc56sElo6qeQM4alMABUI
vT6UkMLwEz6kevSTDe0Fp8dXa1t7nI32FVgq1jph+WsnqfjsUrDAvsspLIi2NgW/m8SZp5uqtYAI
4HHYmJNVXwM72mXoYNGGrEW78SOrxy1uzSu3qgnvaKgbm8TWzSeWX+8yLU2znSqd5QhPl4Xg1GlF
V71M4zNQOG0TDxTV1nOr33OKmx7LJJt31iDtO+HlnISTLyvkAJuPVn/ulf2yznrc5Sp2G5XaqrVt
Oo9bg27zChZZYMTdRphiPJg0yq9Bvn8kKFJQnbPswjhaFXLXDk0vCOvAecZNOUf2pZWBIK5k1Sfs
E7hR4cif6iA559pYv/cAB1/gInkbY8DdskqJ/a1gFMCvY7h76wcCI3xSfngZeAsbYsCWpA+eStc5
4jvBk1t3bzV+qHoo7U1sQNub8nrvkE0/BbrQXu04996KXGrbmOqc58JqNrifucHbE+4X+tK1b9B9
OAuoF7sn0h2uR0QJ9CwUxhOBkuzQ1XhQ+sE5mLJz+KPm4YW6jerO9dikwjLbQLDpX2kvI1AZe817
SW3JJrVrJZ86tcbCo8oJZAraOajpxk7iYA0vNSCy5GsgaVN/PduWva+GPniGY1Lf66HhbeqoDh7M
pjKvVKhUR85g8qE0soIe2AYabA5dSbPt6cHQch2wSZd9lblw93XsFL/6KAn7UVbW2qs5QWM7sC4G
jC18UFqRf0Dvo85lmBOopxhgzqU+xY9hyCkPca+OX2guYsugbX1j9EF4FZmu70Mz168CiOkGzqQJ
tLFtjwG9fMxSivBHYc1Q6NGRNkBg8y+r7v0rbF37ZRJCA5QgaTA0+/Yd2lP4kKL3PtJraZyk5wGa
T0Q88KdHg0L7jLc8Mcm6bdXmWkT3bWLt5sbGlR627UsfMZrR2lFeXeqJ1o6si6vVwqGlItPdzkHw
LQssVarl2tkV8Kt21QjliTmY9y7GBj8G2KwHOTvtduxEfQ7pyOT86VAk29n2D66s9XamevC76gLC
91wAj9HklbdUNcbXQUTxwbY6DuRWUZ9K09fZNSx/Rz0PwpER36X0nW2h+epbL/YFXh+BcgOy/2rM
zW2uRyRGR7AMg9tRGj6njA8rwz+S3jAvtmzSX3mh9TbwK/cMX56hW9ZBWpfZ9KsdzD+7PIWAQosV
rjEvxMo0UhDuixh3H1XZeVYE5yAKr0OacnIU/o1RTemGaDHFd5CgXmMtmTZyzt5LuB9rWoTcm6rH
4WLPUFEwmBBkaeVZXfJBQxffgA73NJCQ5Oxo8wuayN9UoDNeosggTeqOwMAjnrlNNqBFO3VUbPq+
EReLIxicJKN4DjnA00qoDy+hbjsrrdYfkykMdlaw82SwF2mdnoIczpd0Nm5IADWYOJLr+k4LxXSF
a1rvqESmKnICzGS1n3w8CcyOeXIFCjxjrGoAcHZg4Ik2W2Q0GMKuUh2qlG3yQc0C/M9N4txCdaWw
T7/CQWPOqxu6OhvEUGc0bTtUmrHlnhccPMijm9SKm/uhymJImW19GFp/3mp2kh/YKZKTGJBS6yH3
bvt5svYt1rR1YYc3g2sSreQ0Gp7isRfktpie0RiU0AMmSuX/nn3j1TA4PCkfVJ0lK1p3iBSXlYbC
R4dxVF5Sz6MqJBzkhVkedVGeNg6PrZ0U73lg8PCYkQh+NkExa6sgcmkA0SMAImvoYvd5I7SH0bLz
Lj821gD1vIvw3s+88ZSKpMU16RLxgx2wuVZaxjU3avjFk7T2VlRH0M1EOcJbb87Bi0F1wrYeuLes
QHRxP82LcTrShyII5vjdHlaog1F0TE9T5/RHeyrtB3O0rH0/GM1PpyGqtgHmGr+X2GIwD+R0bVQV
D+PA4smfxj8HtSAYyS958A2J8wkQ2jou246JdWO9cZeWL0Mf549dLa1r6hrlPqI5dl45enNr8p7e
G7nBL0P+5iU05HeVJcaWm1B8ivRB3E6Cf4IgivXINAfmBrbyYiFi37Lbim1uQdPl9EHSZ9IuFKnQ
mUMLGKF6Uga+qDXlSgXGSyMiM54ZAPVVr3z3EWaahjXZkBy4y/wGauEWEyPO3tBmxRooMXQm0jB+
Y5Kv7sqn0Uk/mkrezFMMFE7GXykBhaNbNzf50ODIQfmuIJK9tlx+PJ5h1xTTTe9PP8q60E6QbKP7
/ydzz/9GDYZsJNbfTjQfPpKPtgOP+Yeh5m9f9Y+hpveL4TouNYTK4G66zCfltwJjOv4vFhgIw7F1
gW1wcdP/c6ap/yLoGWQSjxuXaagy2v9zqGn+wngcUoQNVdMTum3/J0NNT3El/jBtFwYxSJ2eRt93
TRdj/x+n7aVejRqO2Xan54Ti9lowAvg1MpuMVOsjFzByBwGMaax19v6CBq5RGIpNrojBbeNrXHKM
0DsbA4gtaY6QyQD4EyhacMOubHBuETxDTEj63OiJl4273k3AFKe1K7v91JhM4oahom0K0L1c94py
3DeyaTAZFc4x8pEotn2fEzpypiR9B/Q0Sg6HwBm21JZxAkzJ6LTAXoLwMnqD82niq9qGri/xqPve
3ZyK+abWPG2bw19Y+4w3t1Xdpw+DAcF9MHTtY1oAznoWOJ952hVvBp62hlmpAj3DzYsiyHDwnwfd
pX+W0nhigLpiQ1eS+oe9O+TjY6u40fGCkNYVTXqaqmBTzdP4TtRzhNNc6BXVMFifgJ0LopjOgqam
iC+iAXxBVjsLvnrIY8zyQyOgy4WFWd2y8JKqmkTvv1cLAps6NnQsaBWgsSU6Kh5DggNXICH2u0dt
FaBuGQn8Uj7PeduacPWGBbqtuQrA7Q1gLvYQvUpxLEUBt1KdK/u+Y+hgdF1rXHTWK8omxibf1eQD
Ps2ux/SYWNUd8znrKxJifPZ72tEUNBz7nMRjc6rI2JUrs5LjNshk9YKuBYd+wYnndg8Wp5hqfD06
RdQv0cIeryvKBuvZj1VPhlU+CCdM6i2/wfgyyC67K6o6ulcRs2YXgKQ/EJdt96aCnSfhqMzQ9Bu4
EB8XIrqn4OiMnYbm5AgptDUeHvjpGLQm46BZYNXthbDuL7R1gV8JVxZzeN4z0NMrBsL6U1sPoA8C
DwjRisMhfPiKTSOgwUJB3f2F776g3vtMju+ovt4Fxj99Ff+HuvNYshvJtuyvlPUcaQ6HNntdg3tx
ZUiGJDmBBRW0csChvr4XIrM7yUg+8nUPnllPqqwqycSFchw/Z++1cWCAhR9eEfFJMKMR7HJ3pMmk
0so6jH9y5Ef23Lv+lS+PRXogbzDQl+zH5NrB8R/zrGM3AEwVu2nVlSUMjXK5jV659URG4PsOgBkB
2bJuTVJ+LqaBbIFDARK63JimX32opM4vvFcuvlkr93PTCy80X7n59N/6cxrNLmloE0kLyqnAg1S1
+yGIYXiSRJiatOA0AeIh24OA/IRGEmPRSnXyranP9jQd9F7UQmOcA7NKFTf28Z29SIyKbZIF7wEC
ts+ZKPxP7uDbF9449OgqDf7l2ZobYNf+sx5S8iFrix3F3Jv2iwdeQtzE4JNcelRrCEGw5hG01TLO
Ya61fVaDvYLKC/Zte7Yo+r1TJ92nJIvZUxavQQeKdSDby3zR1jGfJWEIsSs4coTIXm8QyCFcbl/D
EwCBY7FJkD0MeE6DJtlOzmvYQr4GL7QpX9J5mWwzlI0kmiHwkSTBGPHXIbboZ8yOIiDKAYVp8FLb
RvqSG2vMAyHixRd6PuY+W1MgKt5w9tCiSz4r162vAeQ4h0mI5SkJtEvGRUSmhFrTJfzXoInpNXQi
XvMnjAVAaVaR522KOrj0EYA+8kStjlnyEaPXGAs+JvOHXM/FNYGyxFwgpIQ/Q2inPKBvrhgTe8Pn
TCGKJ4y+JcGMvIwqmVBI6czUbF96k0iNuHCXexYbp3zAihO9+JnhX8vXJA6X+uHcxU3+ntgcxku4
PD2PVJnSeG7XKA8A6IIePP19gMOwf5A9tiDHeb8vhZD1l95qISTnrykhIAhy/8l+TQ8BbUCSCIOz
2TvYrwkjo423c0uqrCWv1BpC4q1xJP5rMok5anoFbHBCu+tILuleQ0xIM4HjWR6tNeCkl41+KdbQ
Ez0O5EN0gEicyTHubZazEnVdi2yc7AI8CoShyp2el+EFabPlHtPJqm6ZCODrGZCTMfHoCWBZo1gA
SjLTgOLs70y4BRWsvt5OMdCXk8OfjdInug0ku+jEL/bYaSy4nBJPbm4v1J9yFOYX+pjeDRJ366Nh
DOWtnNeY7pa4oCKe/BQiDEMkfjw1HXF1Y/UxW6NnsCJM1lavgTQuKvNtkqra30EroDtOCvnoPcRr
kA02WYl3pyS31lH2mnTTETO8jaCHbpGRws1Ip8hhRgBskmxDBL4YnWf8Is4S3Wo1kKbjpRHJOn7v
sWqBFcAdBn2bD3ceHQkFFHtZwi2214iePPCmC2lIeYz1kDzUJVE+jekPuwaLFnqBXn/oZloum7hc
o/ZssjORLfMeGphCvIp9v7JuYJHdafLSQsttn+sY3Q8hWQZyHJSFdepEF5CPNHD/zv4yYXY9xWQS
bKXTYNkfmjm055QwI7avUet9JYLvUx/bZNGnRR32EbnFW03LOoMHM9nPfc6Ga1c3rMTINjtAm0xD
R+tkg+gBhIMFojmNNqm7G6T9QJAsw3UYPhWz1cKSKTRsWKwZQCQT/0tdtzUxemZvPiWNbyzACPvU
OY5ED0zXKIurLxG+OETLA6WOnRQA89jK1Zd2nzFCgpyL+yIzdnIAbKATWs8oI/2QYGs6bYWVZqe6
L8QuyTLvLncgQzhDVITREBC85qfym59G/YfCt7pwWubuk9FaJNsvrp2Go8A+sQGN6V57TFY2VTBW
JlOEAn+7ACvrXs5ZbRiPNsmBLRzuIa23PurzKpRtOizX7ep325U8MHFYNvCEdnHUW+ZuUPF0alLD
um7JBUgB/1sxGnNTW4h22WOegsXqvvqrGql0C7CoNpzdU1lC5t2yIgweIUHCv1kWnNuki6rgalya
4BLaDNLR3tTJp7LprLOjlAEeHAfCp0b2LoUKTMiP6F76LCTvEe8K09+lZ4caLR7xLyZhvr1A8X2K
kZIeytlBSpNzla9MRUjuRueW527k5J7zElMaule2t7UruyeKKFyB8APk566d1Xtd98m5KB1wYhXM
Ggi0hH9cxyiC+JIwj8dtbTqRueksM7vRnkkkieU6PaF6RrKEZt4r95ItWHlyIArDEmCxI1NIrV8/
NuhkWU2C42EpXa6cgtd0OyFmCEunoNkXLPUThnHPQ7yb1iefIMr32djq7FgxZXo3ZHDgQx+b4byS
yigKmA/N6Y0yo/hqyjoi6izZUb9A2H0nm9K9izoFnzSSbs8EZFho5Zda8pwMKx8oB3Yj9kOXhYr+
RziQzQuVh8L0nRM744WOuDzbCBRhsmEZd57ykaqYJSMhcAfMSt7u/MT2y+fYyYAqq1KSuIHemz8y
rtVRljQLqWO6L14oFMAeAG+OL32irQQM6R5mJjsOxih5mXqQutqM1goL9NwzoUj6pzyy8cZHfKNv
NOiXi0oPw45XQH2FcW3ejfmQdKHZBMW7ZJmMR9mK4EkOk3OQQxB81dYgHuGujhe+4xgfZhGRwRK1
GaTjOtMfWH8pF+y2x2lf+l1GHo4NSGAshX8S5Cs+1+kMIBEIfvGM/ASkhZ2T3MUiILL8UNOPjyia
LbKHYwujAJWyYO4jmLuBKEIxro7MG8qz6w1IjuohgTveSbfYt4LGFy0Jvm6kIiXtfIgYkqXnpcfs
72gbhZu21zyRFE4SnMygCL4NzBQ+d4rGJHpIXcldx17qyc7mhBizZJyUeYAwBAWApzexzziKsUda
JJJle2cZxwFIbFUHxkutOu84wwPxayCeBebZpMoWPBnLwHYnRGRT++8ZE5j+nUN6FGN5nrQGmMFk
Ot4mi/SLQ2JTN8dutoc8wmhjKrxdTHSrcZgq2z1ZvE88mAt+pcsEMxJOJcserGucrhSsFgG3yM+c
B8H3Zjnn0Ry9ywNqgttCmwuUtnwJYnlJ5jt51QlT/WJX+rHeSQFZztpa5TCwUylwVjMGq1Zc2lWy
gLm4gUOvkcaYTWlf95lVRWfH7Ibkxh89jYs1jaLxmHWMCSZgCe8wobYGdmdqkoeZ7htosnZ2rH03
LUl6YqSYkjcWN6o84nxlzE9Y59x9LJdZvARplrvr/NeJPuZuXBEjNMWmR5EEtx+WWTriX90MHdlV
Uk2EQJtyTpktxbMUHy13QESvejXqbbvC4aPUmYNLPt/teMx9U5/tuTSJU3M681gDXDv0+GXQTkTu
dJ9UhNSd5pTQ8H1CA97fVLaOs6va9kZvS8+7Jok2lx2soWQwwj4e3QOxw0F0thSamH2DC7rdBlXk
Reeq1XMrNwTbCWRCtUu8omGAOPowrfEITQtS7qpYdb94sbFT43NB3N9AISfF+xj5waqvd0oveeIj
5XYn8jYryhwxjpfMdXwYWGnaDeUjEUF29snkHQbxrfuZlJYGBzgjBHx0onMHeFFB8CGjuCM2bEYF
EHacDggllc6AWWImMxeJwYRgBwzGs5kTeP3ek6p16SQq4wJj0YcgY1ACeJvwPbD+fBPtqPloWBMN
Yxyit1kX32VDKzTBaTnZDujVV9quNZDJNbkN5qSI/C+JcwzMIlbUbwhuDLDpuH8NdJgjdvu+SObP
c6wsC1G7yZgB7UxH5vSg7zUG3C3kHovvv4MmabBaw96MdnGnY1h2IRTc/CKeeGOpWlAchpE/05+L
jXj41Hm+LqjefeHyFQJuSRuQfc0x7RRGjm6Y46cOLhn3w19nIgUus5vZtQp5hUBsiEP+NuAl5ErC
CNusDirGhrBEtjR9V5dr5X1pWfrT3dTK7rFDQMLrlTXqpTTc6kT0jwGvw4suvabo9LYvF9PdFLGj
inApHevGAVB2x6zYPqQgqE4Zk9Xlk2VyOeBOK3wYU//AlQ+OdhAL/j4gspq8hu7UiGp6iTsRP81z
2j/P4AuyA3Fp8jxYpnfSwA9Qt/l4MeJ88JptjrNLbL3aBGc2Dk4jwoo01uI60BqxzmLR7d8bnNhT
G+fBhc9wstxMZCaPSIOjsaX/D6O/U5HbwrFM4eMtaSaGcNQEs4Z2G7h/aqD/2/Sa64E+180Me4Eo
wn//x18HXuWPP/yP3Suk453+qua7r50u+n//B38z/lqvf/K/+g//9fW/gvqgN+j8kll7n+ZEqn3f
tfzrr/zlLfD/gAK7Kh1d4di0B/9P29L3/xCmcKVAdGm+/v9/NS2l/4cJYp9NDzlAzupI+Ltp6f0h
vACNEjaatZ2JU+F/n/rtn9Jfrtqfl+Kv//2vSpe3RHH33f/8H+aP1gI3wNvAr6KMQFEiCPRZOSDf
xfnwbRXVWLExsYfEOC9qBEBYp1d2JJuzN40r1Qqcsk1BvhubeHpMxzw+Vyain1b0SWjSR6FpOfgM
4zukKSxSdwSVTqcayOJV6U3JbxwCP9pr/vl7VwPBd7/XMWa3T/3ZPAZpMR5nezVg8/2jAxgx7qaL
hpCNhNpSRIfv1LU/uVLWq3j/bzH1Pw/9xgqBVLNs+LLMxzTuUjyRfXaNc9zfL+1U7zJt1CHWZgan
JiyRXDo305q/Rwe3DAMP7FeGGuM4L5WzqRm3bgj8QnWqkhs0sujnG66ea003Bd/Jq6jX8zb1arzI
qhLHbknvmgFYcJHS2RL0qAh/Q2veIMB5n6cG+SXk7LS3dVIyfOlLfT9YIoZsQTmRF1O6KxpZnstA
1Fd4vNMrRVPoQ6JHZAFGU1+mJlv6GaLUXjX9TlSf5yERJ/TioFAzg21RwtZuNMWjPdbTySNp+FBY
BZ7jKU73GXHHmQJ2D8ZF6vdN6ohDAmFqj9KckigmtkMlTn2oZfbouNENmLl37B4V34pwLIz3dldB
iCVL9zxnwTMZHcaBMNALNdsinBP4x9kSX5Ule5cGDVrozxmtRp0erJFAvMH3XvqSwSLaiGrDzPbM
gBmr5DDfYBB09h0svZ0WkbU1Epp2zTBNezRtVBZFel1HCwFySmBNrR+wpJ+jBXxirJpwQPghCROs
s5b+Z0QbzBLtHkPKFDZx2ZHaJIcD6i8QqSPOUgZupFzOot5xYkSrpE3PzsYVH8dYxTs3Hnvky2Y/
o2pL3406sM68NZvU0BfRHOBX8SVyymR6mAZjeDeVE2VYaQukwZpO+dig2TQeMKqBWVDQAhRfdLSc
UBcDTXT7YFmkNiSr4wTkTue7ERgWVxz6NIlOtt34W1/Wya5FbAjkz3Vo2TdpOEzW8oCS40y3a2fU
w7AdAPsvlrLCgt0umb48zZNDl2ls8O5rH7egRavsYowTgZ6xTw+CWBzAeAQKULMRlnJoGU4Gif8g
BB8cl0a6LLiWDtXLBswM0ec9ebGt5W0rD6ALkTZgHHTDJBiY4BA4R4e7uaE8ObjOU1V1iICh4NJ9
aBBrFDoLySglTrvIMJe0KFU8Pzu0yCvMSogLIyY+1B2ZZUxsADZ102OjrJv8HkaFEc6ed5hG+36V
N4a5P0ETIFYelGl27foQa+cEDURf047tMzGFZF4fjFEdHMm42XbjOw12EtlNgMI0P7Wlf5f6jHTA
5T70UwqTJN32fXI9UGShLSKeG1DG1D0tRXvjtZA4PKHvElofbMDydG96wa4S+iVP6Wy7sbpSuQzn
snroDErbKdi3SflZmNWup9QKC48OKxVKskUJeh3MbnIwCdhJs5bk84BkKvNm8uJzFlUSQW1ryA0V
ubcHElyB6bfq7hNDK4frXon7idzYDkPOnUH5sSc1SfBuDxNTm3gCKKRcyMSTFbwkBY5dwWmdpqUj
5LsI7BmoDRGMUdvQyJ57QrwTirMJ8stRNSmYpVwam0Z3cajK3HnnRxLNFTHLV5lo9bEAunK2WBdp
N8A5w2+yZfUbL2Yx6gcV+CwWPRI+KzYErkkTTSa7fraalScuTW8Sp6DV6q6NSn07aqs5prUEnThm
/EF6mYj10er0oC8Yl0U3zTyflQSq7Lj5A+lTPfsoaCNubj/RtoRc1Xg56LjY3CiJA8yQjbqWra+3
wmcj0pN/C/wQZxWYw2UTdF16itfZfWYocSCsnvAFgaAsqDvnPQTJsxctrHc4nsvFpwcx+hnOcnc5
qtFbNoZZf/Pi6kjDqz+QpSe3BkqPYxekHywkxTtik955KahTMyH2ZEIiQ4wpUbajkZknWkrVNeKS
u998x36cUr5+xnzX5Lvv4F/DF/vGeuHX1ZhV3YIIaADSApNGMt/RJLrRaUQJqzz0Z62Z3/dL0x9z
glmvo/XtSmhNIUqO2gssrficuhrJfabeYR4LQgTwrHxg5Ktrx1vgS5siDbOhiI9036qjnKZup5Dy
hV0lzqoV/hFdwjfkdMaGeWm9LVX5jt9hgAErXn59vhRX3w1l/3m6byx5mV0UGOgc8wiGObrrFL3h
meFTiHZx2f76UD96Jf86lLeGDvAfgN3Wf/5dbWKObLV6egHHVHvfeprgwNXtjxZezVA5zftfH8xa
K7M35QgO47+PtrqfvzuakSLEmepMHp10uGUQaD0TvKdP2Rh/MVPkIq2b97c0TJOzTzLIsTeIOpY5
aDDfJWElyPQx404CTu4PhdtO+6zT/Rm5rbVlR1aGacotzJ1RgD/MHKJX6uoWC3MFbVYh/Z1gTEtk
cTT5jMtp/VC36yfb5tv96/P82f3zHemYSCpwvnpvhuomaEXTyNcdf1C/q9PSPZYZbac0cX5zIPNH
T9Kft+/7I70phfN+IgBFxtZxiLVztKPgq7l0sCcZxWzpBn9yJerAybGhO62VQuPh6v71uf5oWH/9
BVT84CYAvPrc2vXV/e6W5uXoCoPvyNFtHXThbiQIapQ5pZtr3EI0g2Wi2yL/zWP7sxP/4bBvamrZ
1yxuNZJTw4bw7Svni5ebfJlVxDSWdu65mqfrCDvFLRED9Q6pQf6bE//pT+AmB3jVMM4jdP/xzAth
Tl1DiNDRSgvFwFeGqdNdoekAwdOT01g07g1+AupNMvhY9dv9r6/8T17d4Pvjv1kl9Bhgj6pi+9gX
+qPVpdN1X0XWuWxdXmIj/o0vc90pvHl1OVPhcI9N6fDfP55tMkI/62tfHB0L5qs55iNB8lH/51b8
P93b/eTN+eEob86ps3CLFU5tH8sexdLICSKssnc9Utrf3L6fHWk9FSFpFTvyHwtfE+hqWVxxXKIR
dYZvPhducOK9/c0Z/fQx+f5Ab9Y89h+6x9Rs83biiUnH/iaTnn0I6GZATtTWPZkWDIbjtTxu10JZ
Nn1z9etH5SdbZlsIInV9X6ArYu/+492LkmlsGf1ZR7Q3zXFBPv7QSJsASGahx8aaHusmyMOYUMBN
OsyUb3ECq74txMYrCWwi9gJ8ksHXgeqiusjj8tkl4OTWTOUT3qn6Nxtm658PG0Ab5qc+TQl+MWDQ
HxYVgCt5VC6KnxbrCxyT9cZMRHqolwJjorFcTYE77bBNweyD+hiP8B7ZhJLCBoUpdJyq2A0lnw41
VCfK1GiXoZQuG/Y0nYGFhk3Et6YZ45NoS0o4rCymN7SbFAvAhnEpYjtjjQBeamqrJmqRUX6VJD1s
5rEtt8Id7EtSA/4scf7belDft6D+/f+Rws5yTZNX8z8HYTwjlvvX5msVvxQ/dKv+/Ht/dqsC8YdA
QQcIw/OA/H1HwvAdmBYBdmInMNcG13fGYen9QS3pEapEz0p6ADT+7leZOIdZG1jrvFcywv+Vc/jH
dRq7Mo9xIMG60LLyMCK/WTm91TRb+K5/QEKTMysiEnIAA0maDAaavppP312enzR9zPXT9/dK/Xo8
G/mg7XlcEZplb6oPBm4RivEAUgzd8UMs8+yrbdnMGU2AQ1gIx7CMljUNmT8FS2keIPNhGNVPi4oK
RtrSeiQVzx9+s+C+rjFvf5f0adjRu5Mgbt5UCuu+hPFW6R9GWXzsK34H1acP5ME5Yqc4B4xJcShZ
iL3SYgqT+cpRWpx/fXF+XFj+vDYWnAvGs65pSefNb8j91o2mTPuHJp0wyORddMYHWT/8+ig/ueOA
QJg2AT/x8MOs//y7msjjImfJkvk4fegR5OOzb3vgE7BDb9qRJtKvj/aTc0JqztnYHr50HqQfjwbp
1BRT5geHoMK+NPnrzk8zivr1UX78Xr5eOYblhI0FruAZlm+eKvJtzHZ0Iu8AOpnTyGe69YUG8Z9+
/vWBfnLxAgSx9BQ4HzYkbw7kkJHz5+Mb4a/elEb2bUyXFl9UdYsX+fr/4WDuqzIXuZEj3hxs0jYx
450N0gOiNOZAuJ3JIGmNLS69gsw9/vpwryyYN+8A5B3gxDYrAuvUm3uVmj4B9F6Mfcaw840a0HmN
XiTuCuxrJ4Y9a/5g6+6TfpRHIv1W81cZfXILPAdjNbV3We6rg1WVQ2hRapu0PFrirS0SVR1nWW57
5AHkMydVwMQ5q1Lmq6XfbxDhwn6HvAsIuF/MEEaZiwUic0moLdW7X5/jz97zlSRMD1iwFv/jeRxR
mIyYnrxDXCXylDmGf5oHh4HQ4Dwac8XYMoIHr+JvnkXIsE0f5mGMbf83l/pnz2vg2RK2uCccaCJv
3ooMjKcTFcEB5o59muz0uhIuikyRuL/Zi/zzSAG1lWdJEHk0RN7e06RJujHIAnTAOKe3k/bxY9Xl
x46N2e43l9a1/vl2BHhHzFdRONqW13/+3dLSlqZleLJDRBcMcpcPRnpUrPi3UrjTnWvwIMi2f4jz
qaS939Pk7X2BRAKvOH2aehqPyKmLA91FlCuddtx7nQ7OizO0ZM26cMC3FoPke3rj9mXfD/VFTgMY
Whs6QsRfeOj2hR84W+SOLUkEnj4JVLFH8NfuPlCEyxtt14ZKtXJnOSow+YMC3qIT1050GHuSWOLS
RN6dZM5N5Zhk3jJSdbE7TjIE/5reRKLMXhCNlCd7CMadKILliBMVr+zQeidASN77FFrFzSg58aVD
K2lEAudgoNwzhWR0ZWI+CvLe2hVRU67OXHZmDNI3VOHNgy1Vg7a7al78WPiQoVqmuMTggLOux24H
UBRWJznkx1T02b0hmvbGF6Xf4gJsRhLopkXBMbLa9800RFdqSCJUnUt6GGCCf3bHjizzSFgfciN7
rgoZMJ01AEBnPaYSXBskziZhS1aGhVbvWA0muh0FKfwO9S5OaitxiXyyre5mGdAyEnTnYndV+YHT
gcU54BiJCtDhhBvp4jzU6SRILi/my0AH3Mw1t1tDn4+AfGg4qoeiHYevlExck9GCyoQVGWuvNq/b
Poq4ZBYjnLa2O5gM1fAE7iRr0Ss1nbuJFKIbyra5x88d9ATMloQVaYGesoWrr4g8v2wHtyRATURM
BWK/ibbtwqefYEKIA5sMg7oO88FPj6hK1b7yud+yG7h8QOOdF2S5I6KbgK4wfpp0ZwPa+5A0cr5g
imh/IEkZlIUv8uRmiFs8kj7bAfSmWnQ+CSIkRW6UPSt3Q/MheBo7B+ogI4VqMwiRfW6djHPwIqKS
NsGQdfcFMAV6Z8nY7BJKnHMJLKUwbe/bEltEWAqdYr4ViD2ygy/JG6eNqudLmZftGf6pW4dM7WZe
oVhsElIoD3KhwMFNI4nrs5whYOuGsCCwVXtSATN/K871cYjEdOUudF83mR0Hh7o2FoKT87IMCau6
zvUUs5NGQ7SZKpPfm4zKgnfhsxXcltJNgCUb6XIpR4Vo1mzPSeCsI/qqvLeqEYJ+Ou8nEIsPUgTT
LmV8s+/4bcfRqON90CKWB7NUcn8n1E3uxPNRLEh3N0mhYWHjyH8aLN+7sOb2a23iBUy1SqlP2/Zj
EAWuSYFKbL1hKrVxSeQiNRy71MZcHKIGGcqGNHS4+sLPr3ym/xjl5wTZkULrbUMeoBdRvuAfzK6z
yhyPvqWiL7m1OBFqhXFE7yaasOAW30dY2o5ZahS7kfndwZj4ClOKqs/ga/p3MoD7HYxGeVAd2LRW
xubeF8hLS4kVcqBAnBbTvsC3lu2mVdutoHhuhuYcY4+9gKjVkjCJVOpr18VMYbLoMZ4H+6JVZnxj
oBW/UKoPyA5zLdzSTr8rYjjiG0VgEFW5WsNLnJr5V4/ewoGNAXgT510OucZtKI5L6cCubIb3vo+B
169FvuWrxwRAa41seKmuesIINCFM4xLWFeFXMc41UtqNIiPlM2NWVVJ4W85y3VktMLPMW+5l63VX
yPHST1PKiisMifo7AspA3t9ErEA9ItswovdNjBUQyFfw6Lb2spvUbITV7C1XcZC91zAmD3VXTqs0
CCmbexsV5Z3A1HEqkxICmLbQYMKMjzHMHSDSGfvacsevzNTBAiO4wU/na8N8PwWtdWUX3dUYIXzx
oWxvp1HMW2nP5iXqKFI6oeUWe1V4eegU9biv6aVuOhNQQ2ZCRlqUGhArNlW6V4DZsZkSIptVxrcJ
3Eo5es4DRdJy0FiQN07Nq+ya4mDSa9yNY21e2VUPIYh4wozsN4+573ZhBcfWXr0QMaXIp9tNlqLf
F8c1FhiyuDr0tUm62Ds4G6jl9IieddTRXSVwXntRPF8wAb2ya3iuwSrrRQ0+IePU7ccogMzjIdbe
uvNyi6PP32djBXDanUb3feUlJGgU8QxHHgLE1hdxhPCX9CnKqrlqHqnLpneySq1j4VrRgSACdEAs
NtdpyXzfbI3gPuF8PyiYIYyUpkJxNdwS53pHJN20jhVBenhtHYkdjtN82BHiXQd4sBbvtsBWSMgV
i9fzkKjuE6JsuqytFygN0X6efEAN5KH13fJtlimQRTIyNsjkXlBk1yf+dWRC+xOAOFvZWzgFbdjN
xR1rfyhYfHA4i/awZF20hRuZf0CZ0J5ljPTN1IyTgLGQA17ECTQdfMGmS9sqH9WFWqLpBmrQ00Bv
JMRh/mjh+tlafORvXaOGu7NEWQ7122SmHrkjT27eFdvFs9t76Yp7L8X6Wjf0u4J+Ece+w0g/zR2d
P6hsJ41YlFVeVy2jVR6KAavvAQ+8e2BJMbAJozYdsahczn0pb0nSTsNKJBWeYwJTWtvZRcacXUCZ
XdkPQf2ND1K6yyq0WLT8hsfYZFqJWN4Zv6oCUzz2YUIbMrUyQ5BvUzM6cBwMv0bwWcOlSrtvtZSw
ZyAM3FtmgOxAzLekqGBRXRyH0aA1ERdgGsMTw7L4m7Pkapdwb25afxYnz2kjMHyBulsQYe27Mvqi
mA9eg1qK90UaVGfXz1JsopnOj/h6ALFm9bzVKFtpfYp3uKN8hqlEMkNNAZ0SOUSb4JupzuRLgZqZ
pNiblu43a9LUvibN9wLlfFBs0FWk43YinQ/6WFR/lpMsLpi75v2+6rkigZsVJKkF5skmMWGDmf0i
t/X7WU311VRP11NRd1+cstGXbUPu42qNBgwmrzVT2l0Qdd2LBe7+UIp2OJXOfMhr46kCZ5wTttaQ
fFoRbVdjYdklzRQTeuKWj0wM++uAOcRB8BE8Tg3SnLlUj3aToH8kZywkYU99aatx4ctNUYBPloAy
wh3HsJGszXntxtfYt+J3YJmrbScaAjdLia7cEvgCaGQMt1Oinpu56pGt6MtEDgXT83FXJ6zbS79m
AOspRELpo+skxXYI+oHhPvSspfGu5II+R6Zp+o7C3kFgnUXhvBAGtKksH/n7VD2RSI/h36t2Aykc
lZse9Wj2p0LPauMlnTwiisWbaA58hfEtH7EOLIfCWJGO3r6rHW8PkhK5a9MY/jmoJ8avVupha3kY
JqMMsSZiQhodVHPgDinl850fB6gykgwJ7RAgJOH4G1U6n/vWid57RG1hUOBtHmd3t0A67Zv2ce47
f4Pk8Nwb+snP5HBLHmXIpf0Q9Jg2rcT4jBj9SVr5FRS7+3jgC5USmFhM3tc4/6pGf4DxkBJDl8YP
2LBJFGqbc0N8ZOqYV4ZcgFp4ursslHGpeIJAlAf5IUIs+rmevGwfy3LLVwpmYzMccH+Uz4v1hVZc
sfdla25NEnm2BbP5jXZmHCNllz7oGvp/31VQVfwnFwaA27YveRN9nGrnMkFeSNppf9GVttrqQkET
KJPHRAZHDDEPDLExwLWnhmn4FnzmteXCfhVyqDduM4w7jfhy02doDKWBMMN26F8krTxVhHfuR7e4
y3irTkWWfKLtcHIxoBl+62wI1Ea4NIDpyZLoCCp6uKmC2LmZG6/72hMgRNPMOeWRUZ6D1HH3QwTL
iLzLTxgT2Jiz3X/oWxulPZt8XlnDcT+Tqtrsy87ewi5y9ioQxXnO6WvLiKk0pZTb7myLENCk8HXY
TVVGPHSgNkFVXZEPBS2rmqhVGtznK5uD+T5bhG5Ed6EdgxqGE85klrMU6GiD6RgQODnhUDF8AP6G
d88k9ca2xnTrSvURh+G+66nzK5fqs8wluJKINb+JKeit4C5ZrCsri577uboGj2ejG+K+AyURG4JB
1SlJloaPfkWsMPkYClG6nLLmfYY8OERv22BS/eQZ9rNbQHxZFN/suem4aSp/aoifup2LoXyaaIYy
dXYKBAixecRTiD83QpDctLge0kH3h8ROSpaUOjt7lVCb2UNF35Yjta2nPlamxkzpupypyMZNmQ03
jgnuIymteregw/nmzYl1k9borhVq2/0sRL03AkRLcy6uKvYs+4z9z3msIooj4m4dqW7RdLsbB67o
+6QxnEOVRPpAi+Ueu229jxrgqEN87VMe3nStoXcTa8cO35R7VQcyp+if2DenpmqvFylIIWMysRcu
m2O/Us9EvhBOxPBjL5lVrhacYOuN7vQgjYqtS9VQS6pRkKLl1Z8nTursKa8I3YlbKk3dHGVi6APf
W3GNRRbXVJ1XzP2OpO1kO1Q08kpAytnFnc6ucuSaT51Zu0/+5HyNJlOGUDOGQ1JY4plsqR4TSmbc
NxhnP40827e98t2rOSVVI7Ms48DUZDig8EqANAXdtaO7cmf/L/bOZEly5Mqy/9J7pGBSDIve2Dyb
+eweG4hHeDhmQKGY8fV1kOxiZzhZGcJ9cUFhCiPSzDCo6nvv3nNp46wIuMYYWCHwghxChgznvtp9
Agi01HD3WhvdQFjPiYyooMyqYce0kWz3JODoC6BQb2PFUTGk4/UDBlEBNMcYl5HiKNRQImM1J1Z2
QDgHLExvmS0XYpXAwj1I1YxvgDFWFEzOOuP13ei10e4D+FbrPhE9ap5wuMU6SaOTnSIIdZECFrVz
F9GIWnY5dxxRh7/Dvm1sBnopKQbVFq1fjYJ0UGqPh3WNrWrY+Lzo1FK5OqIZ6NYJ1mcqASs/+wji
OMZmkORSo1/hC4z2cupIEB9MZ0u0rDjyObOZJwUnI0yIY2nvHVDZB/RcymplxZzmKcAeegIYMbgl
xtIZGmBvVv9K5tC3wiULsRqi4CWLpw/KcXXv9xX0iFBpLRECLYifVHVHwlWeTFO88LH1AdPVPnIg
a9QRx+Ea48tSBbTczKGOQUBWKrqYukZvqFC1tc7R9u/8XMMCnsfI1z0YkDjC5UaQghluKPrslzZU
xopHUL7MFiUsf2VDln3bYfjF6bMkcre4o1dRPEmt9xHURfI9IQz3Pu5i/WZWlbWORkrDhTPF6paa
/vcqy/17+nHzhM1qEM7JOfdjSpYNcAIaTK2LALRQf0ZarR1/SPfdUNASrQJnXWllvtWI21jK2isW
lmvEhzEaMYsJVbrkLJf9Mimmbz2Yq10IlvI1KtGyZkmi6HA43110JxwO/BFoB8lRNZT9WbiKsa4b
45PTUWl5vpUAq9bvfNvBzqmKsNqRLRWd8C0m66ksYzAHHUYHLaWjesR8ivPVxpN0Nya6/dHh6TIP
2pSOsNBcy1tazuS+ooIkVcvu3UGsFYnPnyUPmYu/ekwItg+b8XHKfaxhmU662BoeS2PjSlLZa++I
dq2NPZXe1EyPqDzsrewydscxteHEiYfEaVkzfYVDIqiiTeIZM+gDLIJeOPUS/Kt4ClKmtU138TCh
HDIXXWNJZAiPIblF50Ll/jqZBSwLG+4ctsmiwhtBrNwzH6SeQP2Ur9BZratR5hdYc+kmKaR7EpFv
bDKjj1jmvKaASiCtA+4RE36tW+LaLKtgh5uue+qrcXpIg656jOHmgTTxdYRiCEX1QiPgVUvosteZ
zHY4vgbsrG7cAgQIJgfLvcGaSBQKKLIS0xVwm7zDpznztdyyshd2pCVgtdqA0KuQXvpYEeRFdrPR
Lty2xcfkVHW20YJevjvprPXknqSPLuvPpc09NPqFICUmoJjctlxq78T+HaWb2FT3gQCHYaT3jufn
W+Keh6Wgf7mQIGTPvWhvdmiIFZ0cgEdBh2+lg7M6K6PjoMfkEbDwMkfYaKJXZKvKauti7ZBxIrGV
2Etf0+qVNqSCbFO/Ss8C5gF+6frZrUCywPNBwFrn0nlHfGru/M4zlwoX8rr3SUN1p6a9p6QMeP9z
7G2QFjGDSL5VE732I7ufKdqBwJKUgNWp/5hq094XA5Gv5dSjJSSFEuDclk4tgiAvgPM46wnhLiOr
bKEEZbFrgzIkZnGM0upgefG9Axxijdr2ENg6KlSeFkTfdIVhRwbQs+vEJPQYacEqT/Lc4AyOwRu/
Cq75AIPdEZdyu3VdLLcsXrr3QdqKv21HU77Q/pB3hVc397Dgm1ckNsmVK09dTOtuY3TKvXKW65cO
TvdNztu30jvzZxOFaudPxnAV0D4JlfSz4Ds9WE74NkeuY2GFABts1jxgZbXrupsWPSCcjLCSyTIF
GNR8oug0Bpi2wQRHqCdhcpsLYnGQhUng52Xa4vjHbod+dgRLRsFBJOYeOhUZ04r0+m3oNQDO8Fif
GxTMT6nTBWsj8ipSrp1+FejzxCWItW+jlDNjEngp2mdW/r6+F7DStrk09CttEZd/de3Tvqjp6AnX
JabO5yzrLysMPtlVpizToEQXTHqGZaGKlZB2dw2ybNXUCRhEK1lTAWF7VfKzndRT0Qz+E6JrktfJ
205c8CF1vnKNCdXn8DIR6riw8ZNtgISutDqNFp5EFluOcXwIS3pCDHT2YRZrz3WvxSs/pndJ2x1y
UgTvCPriKicbHFwnVVeFO3Tn6T7FbGeD2q8jMMScYDF4xyp3po3esCuiuPSgmIiy96GSeqQA2HWP
ytrTIsgBTFW0C7TYsdzoGjll6KP96MFyLXHk0FfuTRKC12jC5YPTjXkJrM8xali6NVNqGh4OwKvW
bG61VSBvs13LedRDWe1UGlJEknMjCTAJbHXQLBNOFaHiwyb1amTYIW1NvXedV37XtGlgSc+DCoFJ
d+oaa65YslughyWNm6myPoAUc+gF9gCZzC8MhMBeJZ88UpcipK9zCzklmejTdlKTo5DnaduEGQLb
G/2SFzGk7mszRu5JJeMciWm49ww+3b1jWtaTLkKIG47QooRTtd3XONNq/w0RSslBRsuLPWndDYo6
W0fiMjk07VqR824lc2zESsOI95O0Ouup5RV+DvREfqZugQ+/8ev8SpC3yYihSghPrcjC+Kg0oe8D
wr/R54v4IQZtE6KDJcfVY1DxbSQE5ypkkn3PEMTOWIHw2g6l/dpq1pzO3ob5eyLIvsOTyT8XvU8b
ItMomJZDjjvVl6V48EvhyWWZ28Z7LUNz16umg0jtRc4t1RFwQwqsw5s22fR2I5DiEVAFvfabz7Iw
y2eGSMELGMySJImM5KWaK59wOdO9w0lyNxbx9BKMZfRahCavJkbM5s1UmvNOF9j+lgEkIMFpQkJg
gdaya47wk9W5sDtt4yA122ZLKZN1Dpn505xIJsNV2C7JnbBhjXsQsMeqsJ41kUd7/OzjWfU9ZkbD
TJe6W5cLffTig0ObmchyrZEbWargfaLJwgtQZtWbBwX2MHHW5lA9ZZCcOQDCaMhr+EGdeGTzKn52
RVvenAJlNsMGCHdCYLjgmJeAtdW+xbR7EDsho6B3o+PeNkIgOuGcEEvTpiCRMq/WVinzG+MyEkYH
uEQgJTMOJYWZy4exxpMO2zKD4zoSU7a0cY6fzabP9nY/evshgLUe26X8SDikgXwxGiykBKZgi4YM
nz3Wfq8Tupjm5ZkFw8NGFXPnQPypckuZPBBKZVZU0YQrJ6BF4mwOESXF4YeRqP6OhnV/0/WgehCd
W/4UVUusJp7yw4Tt/JMwGw+fkJSn0HbBbJtGZ32Ktil/pubsUtXI230jatV7TZSqXSRdrnJWhIO3
xXLsbRt8cwG+g0fVX0XYzB5rUUF/8DAw4JoMiHVAomg/h26efxShejZ8uqJFzYmEkDAACW4WgpO3
RJWiPe7Hd+gFEVGu9E5bzlOo2Fxa7xMJ7LT1BLm6+YYygIvcyo4DhubIST8kUWXnyIsNqFVqCOLL
ODSiXAmmrqwRYeFtLEyCxyhh/1rhqGo2/VTx6BBgSTau6bHZmLCBfCyg5FJ3lT0wtipa86K3Lg07
t2lIqnfc8L1VMkCRp+pXG9B7ssrdipDlXJX3ETfK29hebT9BrwQaoOeV+8HRiHAqf477TP5M/sz+
TAGVfyaCMjHG9MzTnNTbwGDPXDSqJkbU9QvnW/tnuKjkyH8MA6t/cpp5Z/NJIQ1x59YLrTD8Q+iO
35UiVoTJcT8sKK15Tzgj8QsYJhgwNcuKLZc+9sAcx30LM5D0KuwDWpaNWEbOiFTEME6ioYXJXmAr
Z2vZc5qqSwcb4zIGcFJW+T8ejabrWgzZNoYSGVrEy7WGixUapgWts9pIfgS1ne1dOyaCMgsbwm1d
XY9BCAXVDzW6I7suevdFx+hmPKapBp2hb5zXqWLqwBCD4g1YRJ7uVJZaH0nW6MdR2QUF7jQa27HL
i62Vds4yS5px46BGZZjnFfsehXW1dhmm3aAHwRxXdstuUgf1jymRYCqlqakXglJn0yuniTKSn1YH
jFCA7jwkqK1u/WRp2YKfXR+gSqrzOLbailktNf6YbkBiYi1g2reltkF7SNUsPyuvw4nsZ0l8izxx
zZj7bs2wCh+jPAdhb9basEtyUmc3zO2jTVHb7wLM6r3mJPYPDd8LmICZs2+UH8jtkydiNjM0r33p
0/y1q1ef3fykkblyyRB43oea+Tshxiy0+FXy4us2Kig2buyktj3LJ/6iWIhS3ZUyqry5pmd4SsV8
A10SXbNGQrlmNqtfO0NLnvSuYyv9e8GE/e/kEkhQmIKC8kN480XfgzXPgZA6eNsRA8HVd6TadQqU
HVvi7McDbRlQkzEY15Puo5/YUhSouY3sUgNMRP0jlbVYeh6kmUzqYFEKBkzF4IC64xjPvNk0bkXY
W7RlcsclYhXK6U45dnno7WQ6N3V8qc2OUYWgN2ih1MqA/KQT6wonYPZ6HNtlm5rbfEg1HPaGt3IC
1rJWtTYnFPE4tBQHoh+NG7jdH0kBtkZzu2YHkRiRF25FMmojlH4kR1q/uXTmv8oI58A7H2yhZdId
dL+I2HIeJS6fzWkdDSV1g36z7WEsly3Q/cJAstRj6B8tn7m7MWKzi+t23PjZmlPArDHoZxYC+V7L
POrwILS5s058q9vrJcawctCOg95S72YpB2ArwYaUpO5vhDmzkPTro+cTCuMTJWSgZ/Bm5dxfHr2Y
vUR2vvK3upLJn86xKVt60xAdJ625N4bOWXVszphr6uhg6Hr7k4lXu1ek2u8I/lsJo0h5xTCdeQW6
jd88m//uy83WaqALPsrUL9c3pIfnGKC9tuAJWUMB7sDLgfL1m4/5Iv2ehXv8x0bxyCvA0m58+RzJ
wNiuA+lvGX8CYiOslETHXrWrYcic7yYFPGtkKpeFERSrAP70PYzneljRGE+PaHb8azZ6hEi2vCxS
EAgM+xzGRBpMOA1j/ZGg8/r57y+N8VXSyHqtG0LoSCdtj97PF5lmBYuLhgTPXlebLAqTWQgsiTQH
kyCVC/r+9rOfXks9Lt8gHxlL5j/6MurwDY0k164QM4wfIvGHf3gg/lek/fj3wU5MQ3lIZ63Z/6zT
vryj0H6f4y7/ASjYf+Dc/+ff+386bfEH7UjfgQLAU++ImUaK/AIYqm/9MS8zqCKx9wnSKDEo/DdX
gFQoU2CvQVJo/6l7+/86bfEHwbzoqymWZgOS6f4nXAGy7n59JT1cLZaFYNE356Qp1/zikpi82tTZ
hGYmC2bMwn0PXdiUMRXtJYLefIqzlqmcluOWSJ2VSFttW+lD9g4V2T0nXm0wbPa2bHPFIpL9rbBw
HNiFRyJN7q8yBVANE5gbA2PmsJHa3V2nMMb3pqVWvWyzhzpKtWXiKzhDkf2WADU1a3rxNU1OT8Tr
yMW71nTBXUvFTQVsrfU0UAsGNE/0ir2N6pAJuLk45dbovLt45Ldd6q/r0kSs4/nTGToVTPG+AXmV
8Vohjtq1wJQ2fd0BIUjAAtjeTONpc4vxiiS0z3BXdIHJ//b7uyqyd9zBjx4nay/zU94a67E26UeJ
Y6lkuDTbeNmW5qcw4gGsf4CUSqXetDUj9RBzba9Y4cpNN2lyC8nuadAhj2j9qRVcTLpb1ikZ+cmx
lV5QfqCQRd8KAvRsMXNAcUH7Nx6aH6jEpkvwDHgMH1+V+ZuoArJjRNll1JpnRxDABf2ViKyxyu1q
CRjzExA0k0/4RiQKkMoINW1MHis/3Ecyp1Pg9iH2eXinNoc4bUp22tjeaaboGKDUw1MbT4IMmhy/
iTmsCKxajzPPfHCrcJeXYfRQ5Io8ue57IEZaLhxNN8MwIlSjBr4KSyWLTFCRjwHdoDHUkq3XEFSC
NkjsTUx5j1Ze3lvpPCQ0LLtdJXk0PkCiBc8F+lBuGy0Jr4MDHkI8kcfaoNRwiluvqJ84J59D3b5G
CRbx1HmBZXfJEglwrR3sbdKrE+XDXgOzTUjgSx+i2gCsMKLN5VbVF+RPn2nxoIMJRHzpWzsBOGY5
5iOiA4N4nm6pgxCkc2Bpy2CAeijN6jJ2+gmHJXEe0L08z9uU1bgfav0pyJ9NkjTQEOTaanDmz072
FSdaxcnpiTkXiezIgMHrLSAaFVFRg+jqjW0VsDEL490OtPg4Gf5nlvjnOVzX1nOcytXNahjbMAUt
U/NeTZHx1imdv4MoYG3T9njwnWJTBDTAF+boCoaiSrtOEeHfBuG5G8D10ZbBPflXdkWCl0rjZllD
7LlllSUPVlCjCbKV9y5UFQEaKMhbBzzCCQdxTZYE2UvCxtwtPUiDKAkYtkEfhYnhqvCxdgfqYxgm
MLLAco4pruCx6stb5HDQcd0i+5aOgfsw2fFEfz9Nl44snGNEuPhR+rGzMZDFbBrDCPetNg3nvLPz
x6mJh0dP5u0BmVz+lKsR/lNnMmVT0lfvTdC5q4rz/sXufXHG/iFPCC37O6MtrIswpvbQ6Mp4M5Ks
XbthOWwGyrtjlTnpHra+uDKFjX5aNsr3RZ2P6kPmqCjp83HVKYrjcyL9/oRwujlmgWcYS1q/+o0w
cf2+t7rqYgSmccrTMnoauVnnClniiUfFPVlar59yu2yosVQMDyiXOFAyE+wPP5CKuRnvkgxyy2/O
Nzgdflm1UZgTZktvl13AcwTB0/NB9i+nvDQlBsQi+2nvhWF2kbYqu31Sd/UFqz9pAQgxV9LA40cR
1K4wLkI76DyCOAYtXNtN+wTCS9vALax4CxIoKQ3T0pUIY32DDLNeRnYcvjUgOAaeuVDQu9GTY6MT
6BYQeBRX/nSTjlHQgPCy8xjCZOJJegJUSLcYe84Odna+7IyapvIoHpWCLNi2fX4FN4HxvqfF/Ch7
9MxbX4zVtKzdCVojWUmVD1A08lERuHLcFhMD6GUdB92w1fMwovUb2HTJAAjGq6oD1igmo5jLO++t
NsNDjdZuQzF337ratogbOiiWg7mAlCdE1MQ76mip4pzaDx7VDkYZ0MXWupdDc4qkegiU6wE/pm8K
e+9ADircpiKI16mBTMnS2ol5dTLCAMiP9WR3x0CVJzfm9Y9BYG+6OtzMNgCY37QnckHztuqd8EfU
if6A8YfhSIjwC7uKuJQjU+LKB4I5cybvJUmyK0mn8dJOvbv1g5xHaXJ5qibd0U/9LEAZ26RGhaL5
ZxjUqAmIMTmheasuqfD1+9JwdLhhlmks/bhrjtzr4VRIJz73euOfDQfZxMLro/oDzEFnM0m0op95
RsjooIIBMSNvyji/M9789hDw2q7b+Y3Kaq89IAC2LqlWDHeyiis0LwX7c1R3F9mzVRaOqt8r+sm0
LHy73qTzG+zP7zI0heGRiO3isZvfdGGw+8jO6jfVvA7E84owTr1zlDbz8w4CMs9B5T148xoSz6vJ
NK8r07zC2PNaI+ZVp5nXn2leieJ5TfKRZexhzsWnInRYsoZG5S/Ko6BJ0txHGdOHRwZmwCcax3tP
MuTWMtDkQQeSfIty8t+AHk/tkQOI88NxvWiLAabZdDJ2bvxp7dpWUMyMcrQRHOPyX1L10ZnTA1Ib
kU75nFDgbfKziT5D9G8KN+k3TIbQN1Wk2+VLQGtq3OVoObpLQarQEvcKsT+T69fTyvQH4e8M0CrJ
oZggEL+YPmn1/GtS2TDZtdJmV4bo5U9mpgP/KHGTKRJfvK5do/1GzqMqlHQLPaQrvvCiaAxX/jhU
4TqfiB7BBC8mfakIzJs9Nkm5RR5sXS2tM89eOIg7pAAMNX0L6ENiG/c1up50SVpFrm8rJ8qIiQP8
2dMUR5VZIkr6bnVO1a88HxDBQrlTpK3bPOME1CUTnBGXZfN1yrLYIgijMFhbRvrYPGJGZZwUoz2g
mhXXpaju3GCEkZ8k2B1qeldk7e1qfONgipqnpjs5E1kxYaCfiW+XZ9qxgH4ajTDBmMZQqgj50d0W
BDhgHkaUIVOaEuW7Zbv9gtiObzL1+w2TwR9GQafXIxjCA1DOfKPqLxAvzaVTq++x+x0wpX+AXI4w
yB1xY5Bud7LmQWvi6ls3Ku8w2twnpeuDq/FuRtAHaKNdlAM5CpYWCvWxcRCgZ8j9lnFsoXYgLTBt
2fNiUmc09v+1PskfWQ3+l3sULpJRWgsV9Te286fJkPGnsPtoX7e4AvqsnI4JskXsFmXzTF9nXCVo
ej790uAZRIIjrWWtGp0RsB/Dlv+zcvnfOu83dZ5Lfq85F9v/c5m3bZN3Thl/rfL++bf+UeS59h82
xiQ0EkRUIBY2/lnkOR7lGkU9XbF/VnL/XeTZf7hgBaj3wUjQrJkrwxp6UfR//485h2EglyAlgw6e
wQrynxR5X0o8GlqsXBjgMcAa9EO+ojl8M+6cGo3juhFgRlD7jiNxq87wH/oKdU4jNi1H8kYdSl7r
S9+xxkMJ1KRw1o6ddt86XfNm60KI/6VJu22Yo4n8y124/aOf+gsU72ubdf5EamBc0HR6LMP70ubx
8yn12hShjGsMPlqaXEef1GogV9lnLQI7nDx+8Fo32TUBp4Je9zW23Xz6VowWqFnIA4faieB8cdhc
o+5MDv6Y9ec8nKaTga3+d0SCr725+ftyy23gCziwdXe+UX85tSUuFox+KNx1GpT5R9/Rmqpdg/9O
/cJfwaEkXDB0EeDHXvmhSn36aAevfx7DhLyotrQ/w7ZNn4pyaA7EJJeff385zX99Tvh6RKzgJ6dz
DRH616/n+pUuE9hV69aQ9jmejHRYxmLOLq776DgSJlcuCkOW7KgWWgJND3dzihQ6A5co0MF2X8wx
zK8jvUbDkHt4aHdQZan2g671qHurLn1jEOBtOcbBKCkJhW1DI93mYyXv//63fIEA0myZj8YurxAj
ZRtP8vzo/OVSe/HEyae1BBVsFp1GobxlPwxmuBokie+9ilmlc0sXa62s+w9MD4SBZXnhg0/NG7Eb
HJ+Q0WFo3hy4vxoy94IKQBOvg5Fu6lqcXRWbq8KNu6ULNutaWG23b8oIblWYvElBZRYH4tUXjXVB
jLwsipHwg7jbydHJ90idHGItCw5TWjDRhoj+5OLFRrCJyH9h+3HddTt6Nmy2niRZqUcfnqNCVKpw
tY7CqeizJ+RNo9kw9SMCDQKf6Hn6DaGAQ/L699fyzxf3r9MMriXdKUG9QbPAcr5iQxinEXJG/bg2
AiunA5kWmzKh8vFM/J+W8akl/QAwMB4obwfkobtWZf2nU2Xquy2r5lyFPeNwszLdfV+i5HA1TsaL
onANnIyWhIdY1ruOA/SAuSgfP3yk5Q+tDMqjTzzUq2Gl4Wk+I4Mzk8zbxlAfTgDek03TOvpvHpx/
acP++WPpvs6tc0vwKvz64EhPlzQGeAnqtOouIfk9ePtoJ+8ly/pNGx3Ib5AImP9l052qvPBoScFg
1PY8uaOr7T2JWoxoyUP9x9/fh3k1+3Ib4Aj4HtwWHOLUfb9+M5w4eZeJHqOQZ1Lzq/Iz6sY96pZh
5Q7dfwgN4HM8OpMmgpSZdOR/IbiU7A9kTjZizZzAfdXLEZtn1ybXv/9J/2ZB/OVTvrylZPTGTm0p
sU6tOP7JmKSk0CkQspFnMW7+/rNmfsrXy+djo593VM9CNv/r5eORTCTdHLEuGJscLS2fPianck62
svR7BKMsuzhifeJ8dJ2oDMjnq7//Av9meUXlYkNyY/23+Z+/fgFoogLlMgnEWeN2z0bPOXMIJvc3
uzD9319/p/AMDg6Cti7NYd1zvzR0TZZcb8wSZ90JdS+pi5e5Pm5R88KsfCz9+DoUMMiH/mPA4Ql3
jM4R6W8L9hNvlViYAEAWY0mI7PLOqWW/dcMGvelwX5sSIsEY6WsZh4CvWwTA9kC+qeVP5H721c8k
jH8zzfr6fAjPY3rKXmkb/nyu+tLmmOyJqCdHueuKbYexZewtyIMjNtYptd/cnX+5bDTV543PcDjA
GHQif7070RSYeDs0f+1mDrrfMdV2rj51x1AV2caqg3bHpfZ/86EcBb++1VB9OQlwXGJlhWXx9Xb1
ZiPM3OiDNZEnj+BRyrUVwjvwg6F/taoydxYgt+7x1O5RFrwhXkg2LpPU9yScbRp6dOTsQ2PSw4Mb
OLdaQp5mcau2sZLbrMH/DLD7LTDrt5Ihe6z3JR3MlABssg8XFRmYC7cf9iKlKaDcWr8hgZDLKs9Q
VYxRSAoqpNxYH3Vi1QNx9koUcWgaT8z9aV4MPWP6AKSkJfM7HI3+Yrbv8ALdj8AbWfT3qe09hH7Z
Xifn3ZbTR6FP9bUAzb0qhAhfKYzaq0ZewgaVRrhCFk0GdIXyFSlMss2IW4WGQarj2zhptLFxLdOv
HOruwyS/YmtHtk/IJqbMtyE2vY2v549SdjflIW8tgW+Gxg/Y9GotghyNnhbm31whYpyBmVAbJDEp
Yh5f7oZM5EtzZOJBYEp6MwaHOBUzqZq1kRAOTFfU/FlbqQff1oUqa8zZ3nHaB0tilYI1LQw3XwXs
Ut8QckN/xaxClPu4JPr0ATonsS3VLOgoCHfCC1hF41FZkX0XRCTAw8/Ez6mvcUTtyqhgbpBZu8B5
bOc4xcFeNaPpf469dUr79hFU+0806uI5hpS4saYiX/te95JH1QHna70BDNidA5xGz1WSWHddqoS3
QMGZ8+/KGN37k7/wreou9ycMKK137lKkr41EGkg4GSoNDJ00O7Smu2L7HyCYZuLW0Ev6gENZX1s1
M/GJQf30qJQRygT1TidH+K6GIfJa4Gt66WNrC8qzpAedDN6tLHN5p6VZC0IgRH6Hy7saV3XSjU9Z
ODV3VjC2T9KkR1BpanxkfCK3KDLSiyYZNEyD0u5TDloXFAHRMoERsTKqHMbG5MgLo9h2naJmWLcM
cN4ZnKh9iYH0YipZrSLu3m5KcFRHbfZdde74PZl/Ya8LbYtF4KajLJ/KR92g3evl47UKxnOA8geV
RNITEZeWP4LAIAJI55GsLEjGovWMlVelxkFDObZqmqoBJM2UoxxCcedWfXRJq3Ja6RIyfDmq4tPT
62GjdfZ4AEiNNFF4P6NKvAHCDXC5GiWadGXGw4tbu+XODnuN8ExkShGJgou2jqY9UX8Y6FT4omT9
Qo+aEUwjDPU9Q8L2HHopjEW/Qq6NnBT3UGEuqXzqkyJDfIVE3tklCg6s0rxwLSy+FIjz4tlWhXaO
+VY0iAP+cFrcs8IOuyqv+j3KOGfNnwq3ptufgrr7aQkaaOXgLOqEocOi0K0BPnHEHwAW+9CR+LLu
ACJvsNx4s743JUlK8x6sdvxee6K8z1QPEbBlVeAdJJrDirs9kTS3SerWXcvchPy9tqT5i0j2YBsE
0vtGE20iv8e+SdDOYJbyRIA6bR9rJsaNqEaxa0VPjYXeKLXwJOg6DS9RVvVyFKyOwq5HNoiKRGsj
IsmyLVpSbER/iacguyNYtUfCrOVryNzNKiIdHmPpGzDfekMcSLGyZ+Jbo2PC6fxuhTcxueA0shDu
D+YPq09a5K4V3T2fCMM4DaubqeVQLwJKO+Quuf1sBRU6dyskNwb+BJaw9KqR53MfBuPRQD/fWvV+
SpPHAOE+v1imd5ZO3gF5yuaHPg3ZjBDnpO/1E/Os2oQNriZGQYNyropp8qqQ0bSrBuvBQCEtCtuk
iR10aNRaGuayXfvK/F501TFCsJ/Z6Xds+M4CWYi97aVjbpWmP9DLWwGR684FIUynvgWgvRC6rF8b
AjiwnmAK+xZSnnXAH3KcmwmO4wUS02NjIJ42GcIOdRrSrYZN0Zi9sYx6azJJP4BSoVVk97R0JbUF
lkR74yCYJTgvOHDsgHWVJOmxpAN504y42pC9A6UDC85BOHV5bzvVXZRCqyszUl7odZbvk9LTrRG4
8XNQAPJuBjs+xYGyXvnW5bpuU3EpsKds0TsB+CUJ491HWHWoPB1PhMPOqcyx4r2Q/q6LW9AETUI5
iLpjVYe4nKUlGAyOAru3SvUzbu5201Qs3jif7pTxmUb0EZjYjvUj+WE4b41I3sw+G++dMPWOUmXw
OyY3mSEm49rOmuClmPzxtc1Ql/hmZtwTY1htC2GzF0ZmsrVVE3+b1ZtAEupqA4PGnckG+j6O/PLA
3I3tNhpv9Kej1ZBa4Y3ODrB3fu2pD0dxbLpanAKrFeso6PRHU4/iuyxurL0iT/Fk+8TM6H5CcjJ+
D3qrfnep3ISBV5U8RiLXl7Ed6jse0XXV1t+9XCCfI+kH1ICaVxc/iox0kUnO/ZPrjPvattYQkA+y
vYpZbVg7xbXP4moRysFrloZ0grXWeu7ZqpzyHhK2+BBxlb+6s3hF0+znMbDFqmRawcmg6bYMUZHq
NhNZGmDcioVGa/rQpFBffMtWGxSyFlOaBBa3pqoHTXTYZoYp87uNK0W0h0ouN/qIcjkzKjD+ds6D
HzRKk8DGHXufEAxFeqsOe6xxbx5/f9EOmnZX+El2nuLqw6lNAwGBsjgBZ6p4KFR70UiYdGv7s/DU
IUyn8CZS31mBM0OJ2kcJYShcZ0QRDJEsOu60o8506tcddlEOasEGWWWPat4Y4VkwRr32ht9eCfQM
nygxwYoUWWxsfLtwooVbd+piE2bz7CrXuM/zRp91yoxkw3A4D8NQf9Qi1vNFV0XRY09Y9E3TbfHT
GnQf53JUHNI4TtZmxN8zaDavFKJqgso59G0CkVi41AZrfAci4p6Ih8VjHBLot0aEUdzLwi32UZV0
P8nxdP6LujPbjRzJtuyv1Ac0E6SRxgG4uEA7fZS7XHJNIcULISkkzvNsX9+LyuyujKhblbeA+9Iv
CURmhuSD0czOOXuv3a8SU6uOIe7wXUtjGZsNcZiPGrYlHwqB565LyXk90P5Bxwvgdmfh4uCo7Ovg
waoMGOwG1shVO+bhbq5NRhptUIO/qCOhViREZU8lwYPPDAkyYONM5ohBiKIALGUP9GdVl4l3TqN0
IMZSG9cmxRDo6kCTL2HNEeRUQfZii55hmNRwTaWwAVbjmHvXHv5pXrzORIv7DP5HcsZr/DO1pm6m
dOG0oPKtoItH7XUyJHf4Mt4sEmz73Oq3DEjEVQPmYd/36rlHYuW3Kl8iI9NmT0x3uRE5bg53OW4I
aHO43TaqXlpESMNyollIcuhPSFeMLZPJaOsgQ7nKNYfIpyYPpsMQjdsAHQmB596W0xV8DEoHnADw
zY/aFFdPeIlJI/uBZ+zOHcVD4w6vBhpndw6/y7R9joQFDCLU8ks9AN9u9cLx0QQ4p2xw026dISZZ
l7qBBLeE2XDO9apZO7gT9nmm9QatKME9yZUFM/Kmu8fvkhKT7prtyqoEOZZFTA4P8AL5imHGRZww
iv62DmR4ybzpPphyc4+xuXhB+KCY5I66uae1NH4MSdDdK9TYu3kqtU1RVc4eM1uIW4hj70ffuwPN
VxLpQwuHSlCY1Y4nmZSvrikvbpiM+0E3wpei7HAYGnBt7DIsJj/0rswirS7M4jwoGx7BQgOpDKAj
ivFJb/AFUKsMJpTSUDISxs71Y9Ljbkalasef/J1ikzU5sSf1rNkcrDahYb5SrXaF9TTZcP9voXV4
mJEsWq2bRnj5acBDJ1cMH50txncH24reseVapekDdtUQEyOvQMxNweDQNHyM1IzernP0Iy2Kcte4
aAO7rvfwoDPPsQJ1MZKROMC8+NHRdNxOZqe/8gyLzWwyLkp7V91qg45ZGqk71+C+KQ9m4WrXegR8
aUXecHqdESV103D52ODGK/AnZOWuD9x4HZuWccxD9zEb9CuRt+Wb6kMiHaI6urcGrbxXRD/4fYXM
IM7ZTlsA1BeUA/r3SGbeHSpbcS0cPVjxI8P3ZSv8nhN6d88oHp8/l1zj2CRwnSCSeI/47LoHJ/VS
b9138TsbS3aOhnF6BH8TJ+vYSSHz1W3xfcQFxHuI0n0UugooThyeDRXWKLum8qpMKvMAwrY7xwYz
8FIT4be46gH+i7DgAaL3MqJPPuZc2L4xgDURTBEOt+POU1WbGmfVhuE14tsB0e/SZYhv6AwOT6lF
Z3DS5vyqxKbgkfc1the9jRzaKYoRa8F97Whnnf0xGrWoyZgv4ovJUr3UbjIX0UobhThIh/o4yqgm
90S2gNgpoNYQ+OwW+wje/re2zZuXOsEstzF1BgfE+ylyMricJ489qtu1INNmY+UaLBssFxQ2bpjr
pzoaorNm68XGkGWFdr4ZVpppVJSBUXPLMZlsG5OcSJ6SOvSj2Z0xEhTFowYHyidfTzIVxX2ECqI7
p87EeNR1WPwDUK2Kt6DhnKiKT/5o2aS8Zlwt09ll2OlpEAGorVx5pxG+t3aahFtIIFLLR+vVPhLm
ScNU17nf8Z/rd2yw02ZQg7gxsFVQ3nPhOQeNRkos0rUX7KEFqbuGhA1SFtYY35lRBHa+Jn0IldhM
xFhpYexowvmON0oLvWomjaIqN3cc6jMSNzvfp6amm095ELSfOIwzSms6h8WVsHKsoBQGBDJ6BMAR
XxYYDtK1OW0AzYW1pt3o0u7cozETt4ntXD73+ZTvK+Wad5kyvX2sxTAO8qEkSZUbflLytIMr2FBn
jjddPdZsBYiZJ0hPsRdtcQBW5IWAOSbswK0Q7jWzONHegx9jQ67Y2GSKK7TmtXaYalnCDfDaR9iA
iT9qxJmNtUOdprnTp6o84uOovccrhSf7TRrVsG2rjCNy5oRFbDYO5il3cvVNEGb8iejIvtaV1H7w
1uuXPgDYtnKDqrviKGQb4Luxis2MKbc5Szecz21puxUEKpVtB4ncjG5YyH6OfwavPdm/6zooq5uY
bIdzic3/O6Ul5aIz1u4bZu+U7job97caaDvgFHOEvxe5+MwxX4GvHu3qpa29cp1VVvDMSInnasiY
Tdtxeb94j05BI8N0q7nmGyEMG3NEH251EIUq+pm7ZCDjMIUtpRQtsFUB4O0unp0Mpf7UbU29Co9w
bIybVCISWSVN35CNPBTtdi5UB4saMCJw6abb5KKEAwGGc59wfD2FKRAIdvjIxqY0Gu1Vo5L0teS6
tKCwyEau9PBYu71xW7WJBvAGMxhgf1hgyACnLkC8Ms1Bu5YOjiYLw+91YhgUBlTDbwKYFcYvFeJe
nz5aY/hoWg27BWwXbCXGgQwDfOOg17bWyBZayqJ/Qs4ZXqE38E7Q6+KPwckxgyriM890tjgZci7W
2DiFQ/4pXpsNkq/WV1OlfWAgCzBfO+ZnK+TYvi+/AnEUcYPe3QTHQ25sHBEprmnQ4/DDdLTkujmT
iYcbzEcFSHTeHFCCqyfZAFgi+HZ8i7UKJf7gTt3NFDi3Q9TJ6449WPK2gnXcTdiGvdTsj0NXq0Mz
Wh3CrPlF56cQD6vJxS/vpDu7m4HjskVA/5nVd7enDxfuvNx6cchKvdFrx3xueetXLsfwiv5id2DG
BUQEre0TpxMhy0SLIUKf5VkzptHnLpMgVkhdJHnqOipykkZsnJBBV1c/5myi3ZYjEg4qal0NMgp0
zbHDWQmrDRcpPmNXM+Sh5Uobot3wxLjqJo5kTLrTzm6Utiv1NlvnENbbVdiLCjeJVmx1q3EOpSMA
ErLTGfeVi2CHVkbirccEpZ6vJdNBGe1dHjTRrSHoC3qkA1ID9uZ1gIysS1iHMIjKEG9LOe/5xiFE
KYGEjVqbFRt5x3LwnkfNdJ4iBXYjnRty/VxFUjB51WvJ2XuFDdK8Rn6DRY/ryvNg2MkRrVfuczmo
iAUaRj8eyK23PG+8nkY3teglaPPGMyOmdUR0RRdnpiq2hnE4No4Xv4cNfLgqCxqfaOzpJo3D4jEn
vvkhDHt1p2mh88S8vqQkIkgEl3cPYgKSZ0nsYUK2B1JM98ldrDFmlYl7oDUe9SwCGUqg6kAwRrut
0H/7zdgAHq3ToQDhxlLxrAXWMnKX3HFMYxSJHR1raCoJ1yGmKuS6NQ/f2UbrjvIXX8HWK0eu9lh1
OriYfCz+3NZVvm1jp7/rUKvsM673eHNoj4yUXQIzqidH7RIjuz7XZQl1us7B2pRkM46jtE+TBX9j
TI1i69YqWcuhpQZqM3vdBEl1G0/lLcAK89GYglXRiO9xab8SIiuxVttTjDVxqMFDqRxzUmP73Zxd
26Si7MMw0u8w5Zo+tlb3CgZWdh236UMReQKr3hB91kQt3TuNZT302NyJAzDVRqshMwrCM12wbXdj
PoLZz2R6njhJie0jjT1M+rsAXfG9rfJ810LK2YqcLjMNXfN6JMR0J22IlH1bFiuGIS+925DDE2Yk
ygYkamaNs+uJVF8TCPzZUa38mJFmmZVGtOzcN/4klYPBtlqlMQxXokyyTU22NSokjNpZ4HQlK9wM
Yfuo6KHr+61iHmvWBd8xs66NPrfvVpurYziO5o3bdw3cHzz/FSQJjLn0n3ZWoPfbMtW1elV1wt2Q
fFfLmlKsSyvcibLtt8nsEA/UMVquNkikj26DWqTSNh4JRwMIlpfckz9gJ4Y71PjGAdgY/7dL3DNi
Qb9s7ZNQ3V6DqLYqCS0/ogm9ofdbMjvId2WUXEq82G9RpcbFeop2eVx4jdMwH2mAPaYeuMhKd3wG
D/7CIiPmua8OZhMfwyW4qWum7IfZIdZKzea7UuHJwIsRQv4rS7h9IiRQs8IFLx1NbqtFJqxkfHDE
3GJ185D2Q7hkksXVw8GeOJFbpiiQgck6BHDJYuMahNqTwECYguFN3wu8Gcd8ADtCGDBFez9tQ/bc
te4Q+LnOYvlWkrR8D6kBVkSISroBNSXsrTUn3T6b58qi11JGV1KLU2yfuQEIcTC08BXNd8rj2VRw
E0zPeEC1BthsHOi2pfOwSXluK/KdoZq57uwh5q5oZWDuuQSaFdzDpIN723ult3NccfCkuQ5dECy1
FDEDzGEc5/3gqPiVgFxORSdhSSFNLpMH0KoJI0fDjLzXkLhYucI/5vh6TVzs0Y6pT/wwtY3xxfOS
9OKFjjQPjLMT5PE98xEGtMkpkwOyvXSaoOIKeqJkPK76kPPQhhO77KcewkD0eXcJKfH3fWex27Jv
YC4lHlCtxqCQ6EAQUr5UgNRf51LIH6kDOg/VcI8rxOPe3FLX+aKcsq1SncA6PxvdHuZfgZycr5pi
cKBaDCrUJa7WPNMoJqBbEIKzmjrnCnktPXwNuovVgeNQ2dnWy4n6t74xEwGKqXqNdKJrmHPdoHeG
Y1sgiAyPbdJp95YxzvoKxmB4kVxIrllx0QtAwpqKuF6NbaifwGX+aOTUL1HI1Z7855jp0lxD4MK4
lXvfh3C4k/X0jDV76sB6cM1IEDMeJvhYoRt2O6toyjPOUc+3GxZ6HtNsDKVYRDZGf8fZTfCkm9Il
S7Iq31AGUKl2moX3NlND/qEGmaHoNFvgGREkt8iEIBNQM1mDjsrEZipVee0IkqDoHsO+gvcZmzSp
M1mfEwQMepZeEwUFvGNyjLXhRjQp2jIInqkXcn2DKq1eO4BrD0Npdt9jI2lzv7Hn6ag60uj8AfgH
F9+YsXANo0HL+5AtL8JgWK7mJPT2s47gXKfUEew/eXnWibm+r0fgOeCAwE/qGsMRmby0SFbxHbPj
0ludruNSNmuB4+J5dqjacp9RFp0Nm8VyYzf58zga5iVUpMPDbjPn7xhT0z3a0/Ha8jr7GRE5Ces1
Yz2uRAo2ZTJ7+vWUaXq9chw+BvRguFAQKQc3Jq2hd2pTqhCVACsdwoJGBZ8fn6QWOcYmkEb2SAkH
drqBZzALf8wN/Wh5GvOCdkgf8w7iRl+NW5mPT12b13yC4SMD5F1Feuw+Y5a06VXT+vpMjvlaNpD8
ykS7MUNGiuwr8SM5wxmKkYrKZGChrTJbbz4LFZ+r2klXVjzvHNHgRszKDdhojmwa+b5yYzrw4OPh
AAxQ8tyoX1mign085+T4lahh7LUl4zfRC1khaqzGPQGKzbMOhROntVUfZCLqH0VKP3Y9CRbIGANt
WeXQJ+8zaYjJr40u3adBStWglHNCWZ8D00Iuu+tp1nmk0IWK1+UQEFPY4SWq03Pn9NwsUEwjma8Z
OYg820+NR8R8owP+Wln5qO7UFBOv5xhjuxbwLvduqmfgGyBccltJkmdiquN3ZTQGlkxD3NtVALi5
mypiG5XFFiad4bZLGZsNIqCQK4V2zGKBgckF6XpoxGAVvi3H9Dxyj7ka5iBE299WFtM0aFwI6bOS
h73ThbUeOz5yXxP9U9piOHJd5W5iG5IZeUhwBz1xwHzAMThGcidbblArilJxTQUHq7phqggYsVaX
ovrRgnH+KFMIQY3Ta6d0ufGOSsR36PXKs+kNPUyQLLlNlLL3PErmrUc76MmKhLNxPU2u3UEV1Huy
WwnVCshq5eRbCSnZC670hM4Jr4UzcHcO6vHIjjv5A3e5bc8uvbPNlLl/CZAdklJAkhPthquAKdAa
9XO0Bstr3/WKFNnUKOW74TkO4CBVLtD0hJig3gIwHxFguEREjmt6SOZajwBJVanWPTfEtt0brM9L
VBkspdDs6Duo8g5SWrsqmUP5nDztOmGTpUE1WAe91iHlFukcr91U5nBWqnTXt3b3rSaZxS91k4H+
WKBsg0qT8I5zrY8gkBaAR0mM7SDRl9G7hY72RcJQv5kF3EDGiRAzECquysTEk+6g8Bc6YmiZZuWi
j5/JVXc5csJy4NsZy9p91UbtpXDnj3BwzGvpmbcsKLr1dJN8KHXJbaQZCzM+aZbKAVn+dPYUo+td
RdULEo/NM4LJ1w57lnXN9XGJLh9zNzoYSRw+OjV69eUgGnT8gdk8+RqfLJIB5Z2g2wf4yfLmXYSI
0em5w/rubmotxzyuT44PlmFo8CImyGeijkzJkGbRPasr/pYWlfGMKRLgodOGG6CZJH+SfHsD2TAD
e9xTXwYzlr4uM/RnVJfdY6oEjSkXdPAqUYZ7iBqiBpCNhR9eqNx1FYBg82w139deXZ0AfuQ40Mxs
YzuwuwG0VdSj0KUYvxhfVXLvT2ZRH7WE6kuEWXYlCd88aJ2HD4UzBE1/5hJMiq/wTKOlOyiMm69p
GNpPZstFu6BI2rda1NKHdbBRxAkZqh24QjH1PzQP7Gg8CtyNjgCp4kc4NgI1TresyIwrtdW8lPaQ
vGOtp5cehereccSAf4l6p1rPjI9RMKzpGq/QN/LPlC7JwxwGXu8z3HAnbHtde29MeXu20rKWZ90t
hiuAavBwpTb2G0mtta/jiAm6SvXb2YzAzWh2TkC1EWWbyu7QqBiAmxwvcR6CwRTnqMIfIwyHpk0m
Rp5nHr0qbBliuiqD55kjIdGQUKm2vNZK7dEptA8TaedDXmn1Xdlb8I/hEi+32nLwrRjmj9YMN3Mf
Og/mlA532gwyNEkuI63WrbCS/hnOb3srDXN61oDWbBKEKEezjF2/d4L+mW3l2U4z83rWlvvBmKdn
M7XEscha8M1hlN+GXZz6gRzSH8MQ4KEbsYg3+RBTqujsDgis9tSGcejXlegiH/kH/FenrXcDnpmX
PKybGQqdEu85fifmFhVexox78jGJZbgu8N3vawtqdGs7yg8xh/q1tUgjih6/ohlWhKHa9H3sbteY
Tn9VjbAGI9swnqWXley1vKp8VYPcvdBsjY+DgplJzzbhpzrTtqz09BD2mXlbOXW7yT3PWAM/dI+9
QUsjKT5H+jUAQdGBBiBXuEbDiJ2JeVpBzoZq0SbFvrbpGttu+IIb5gcqpQ+XbiuGDWcbB7AvHSRq
dWsnu6qGwGOn5YrIRrxiTbbK55TNb7bWWHUwcoaE1JRPU8+2MykHAwiDIYLUdObG0YZH1u8Naz3E
jnHIhoVBZOxRDGHYH6L9DCfTl2OMAoGpULcaJwZZLuZDOF6EXAhtr/T6KjOtPVyJk1XT/Z4Nm4kQ
P3LfulOytTryFZi4xxSTfZ98xw3XbDUnTK5dYunuBfOvB1lQMZYKs7adl8buf6mSbIKG0f3GSbvw
VYsi65oSWAdGE6a7AiDm45ee8X/aMfL/UTAb9SJ+egvF5D83g6xf89fib5j+/7aO+z9bQv7+l//w
hIjfsFvwb3mIEPnxbPxf47+j/4YinTafQeKGZcMb+bvxX/+N/+IwGLZdHCOux2v5uyfEtKkLcJNI
coFhPf07nhBvEfP/WQ6LtJLGAPRmG2AawRi/yESrBhG2VRgWGrf4s3fss9PIXWV7D0nAyYDqaUNl
PNGSCB7iUFwqZdMwpPD3vkdjn62oZI9BpJ7S3iZXTG4NQoGTk0qaq26U/uQAhAyG62jUnygUdyzI
baXkLlHNXoeUFgVoJaqj0fh2D8kfwGVSFyfmGnurzg6pbV7sRp6lbe4YDF+swDhb5UrY4dsEk3+u
PBgq9b2rVfdqCjaBTQ81AmoKbzfr3lR2P4f1JsnVTkIXdKzx2qncA/bKE7aGc2FNT5VpIQQpiDyg
izvPuyxne0ENhBXsQcERW7sBoC07BM6c3OSBxSwwwl/SymZJzhxWHOCXLnT2Jo1pHBLD967xHnS3
eU7YxlZc23ZoMQ81CEY37941rlZ0yk5Wkm3+tPL+KwPM8iX9w5eIfJSjh3X2D7AXGPJEjuuatcnq
eo31ZsUI4hSO9Y2c5xunQfMXRUs32UGlwTSfb+Zfv4AvzfJPLwDVrO7g7JE2ngtTLurWP9ksMOy6
sJ9jVCCczFUVn9y+2YI6Jk1lRumM5OXGCuh/9IG6TWr1NHAvPeGF0g65DczAWX3MZtdslU0Lb2DC
unUMUiuCUp2Ii9j3SDRh74faQQdJlqtW9y1JYbErRox/aUPl5I4EqZg0BAC7rGgyyn3gmcd6AkEQ
wR/f9K14n8eAjJJJ0aaKdxDekDEI45tZiyPl+bWbELdJGsdVWTPJ+Pe3yOv4vUG4/tn9x7Kzvpds
1TE4tP/8j5/+9E//r5/+UvufXz8k/CjXr93rT3/YFISTzxcgrvPdR9tnv/+CP/7P/+5//INj8peW
OVSRFlrsf75L/u/ix//bJ8/xe/n22vzt0C6slPbPe6aDD/7rJ/3BSjF/Y3fDrmaY1AOAe9gY/2Cl
iN8Emg4WGRlyjnRcnoQ/bHSG+Rv/hoRX27IsRxcLEemPLdP+zZEWGy9jKQkOi5/772yZxi8Scdfm
GcPJZ9JX9MCm8NN+Wuxty82BCKpmF425uUpk/lZUbroxHYBxUdBAhVfZJ2FGZLZ46VtpwEbxSvod
aDmgNpaIOt2iXSPsln4wxk8DHfa/eB6NxWP3p+dxeYkEb4KT4QzhpFiOjz8/j+YQsNOnYbNzuXms
IE4KepM1nbrIOw0kC1jmdLZbGPuhaGGs1n8FH/snL8Ai/JOPygFr8/MLAHVWuUyoSawJeQGmgqhR
GQy+TfaIiFsnAR9BgFO8u+qBmBCZw+v400L7LzZFvu5/+AhsF2QC4YaLTeaXHN3WAmec5Vm9a/pw
XpGU99BH8hxzvvzr3/Orxezrswa/wK8B9QbE55e3aqN/7pjMoO4rhxInXOdtna56LuucYcnsgbyx
uf7WGFxWtGUhOwc66IFJXGSxuMnQb6GtM4PXNpHjppmEDhLFwE/G6kP2NDWHvijnXZNbKVpV5FFp
ajkbhgw0dPuhQyMVqm3Qi9tai6gnkfjDg7ZfYPMd9KZ111ZcB1dhobkEOgBTaKWKrmdcx6PFas3V
Q8mtYGtN43RGzPlpmCrdtEP2BurHhdsTnJXrfQxRfmcq59u//uR+sW3ywfFI6Ew5DdvSLUBlP68R
RxV6hhoBT6MZ0HuZ5pckCNYu0kg/EIKMoSj0Vk49eH/hAPpiGf38dFgS/xpmCFN8bSM//2JEoE6F
vgccTUvNB9E4OTguIwshiA4NzbZF5aKQPjSCrgbTP9RAzC8dt+ALBQMK05hup9t69F55pkwYqWsv
QKBb1iOXCERS+MwFXLNZK/4qBlH8cl/jQ7OIzlioacCfIA38sqx14ArDDMhwx6WzWNealKj3EJma
A3h55KGb1OmyXRd0+RltJqpF4zCmDCwXlV5AAtbvG5BFlSVPNsrYldv2JgIS3rSDgI9BCGjFyVTv
/+53bQGqgnuFMRgwi8ep8ecNqROxptOjynaj1pg05dkUXEJTfv+gG7tC+t+TBAH5VvzV8/kP+wC/
2RJLdKs0dCApP//mXuTB2HsNWT9DW/kD2Bw8LV37Fw4eTqRfdhvLNgV0nCV32GTD+fm3FDTpTa3O
sl0EHGjnNHV61QTR2198iF/5xb+sXBvnmKA8McCCiV++/TJvUCMmQ7YrRfbJaId61W5RfIWFScvC
4iH3NHqrwdDRYTZUepXL7NMILcXFPdlQn0ecO7PnGxZNXAyuGrGACIEzJv9bAurgresayamF+6Ah
dt5ilTqLaW7o2fQu0V1Igwf0nlvNHLtNnKFuQ8K80yf2NxIthc89UNuUMf9bG0njxIUVIUif6Twe
/H2rdvGhKABe8IddNKqTtoezXAJXir0tEHbQYV5lbYVon6bObVeiGhnFdclbruI3dK2XHHXUVYA5
eWWZyWeDY2DfMrBf6V6x1yZPp+eke1vkkZ+oOwEvluy5iIWXPpHHgjNY30VIh3Wosjd7YA1aafhY
q0pth8x7iFgcvtalvG7zgiMIVmCEIdwUHUkGPO3jsnvPc4oHY5JoKbXGBSSI3SJdxAOZl1ivhj6z
LQsy4bIxfsPJ6q7NuhYE0WW1Hwv5nQk2uOs+F3cE2nF5iBUHsbI17GbJJyB1wJph50Ib5/ViuEO2
nn7YKafnaGbc6FHfDC4b99hX7SblAFknkyLqr9GeHYT7aytoPN+LTHeNLzDwewv8MntZsUuZB5iL
1JpRb+xrLSdwNnfmKrfyk8yq+8TwHuoWAUPdUwClAQQULj8mB8tgkWHCV1O0zZ0dg8IiEuuGC8Yu
cIq3Rm8bsBUVAGMnIxZr4tsEolX5kLdtFG32tq6zT+YOYrF9H9F+H1WefmZO4e2mdm7XocUbRT0s
VxicIfAy6CsGdy1054w5XvhGzRlAfkK6Fn2tr4OKdV4uR+Zccr9KDX4VCu1PVJisWL7Z2SGBDEuN
n+q1fBpSuOsFAR8rVGftegrCz9JjTRQRu7Uejy59pfI0QfJfIXaGcaryN5Ne/U3vGWjDBhwsSJi3
imgk29RJRJz15mgHzoPeZbxHrqcnO+m5Wy1fDDeDc2ujbwJqyZ+WtTuPLBu9QnEAuJ2gqih+cxEG
EwprXggu9nbIFd5cUCWrlBVudDwaXwu3QRlP83/CWoc+zMjt3Szch8rjIkM+aPr7I5CzwhA6XdAg
IH4auHxaWOuui4kvq4+X24bGz8N6ZYKEYQWZBl9/q/O4VH0JSEUM0WnUqddxHcZ+5bJogaK8fb1w
Xi63mL5Q20TjTPM83jfxCu233hu9bd/p7NfVxKPmRBWpPx4pmgPfnTOjO1Ok1RpYLtYyxxIYd17i
J9NwKkeGwEkaJNtFs7XK2cA0RHUrz5H8Hd4HSzf9/QvOdXkRWf2MMwqj55R8QqHxVgxgMW+xwHon
/ewm7tEu5K5VkYT8gha+cZdxglQ2dL/GoFndj3yIFAPch5gKMqjwUFZIY+9KwQS7dNM1plKXXBQj
3diqepYCb8VyOpF1Ae+cjNatNKzgStjJ56wHwa0gkxp/HaEANKo3TVuQGDMJLALejyJjMzEFK5eM
JuTwbfzYtjzHzKye5cBemyJjWstJ7ggzeuu4Xy3b2UxGHLGk9vlrU+ol20vUtc9Y5jgYe/ssShuL
TyYv1DsFiUo8KoTlvc1aTGDLF11v4Mv9qiai5cJix6a2WY4dZM3nr3c4zunn8kjUsbwsRwHEjktX
8cK+voNKeIQ0asByioCohfGERlv6JPOxbArcl4GQBN0aTA4TC3x1k3ymVZhtGvRkDPVYjF87nYuo
3JeR+1DOkh2V4NcNu8l40+Ib3wAao0XNk7kZSYdZw7jW9tkSPd8t384EQN+XqjypsNDXhNfyryo1
XX3txHAEuIjZITKhGMoSZ3xKGJ374GQVQjT+hs0rcactE9DlFsMX0Md9tY3LHvpXmsfn0tPTtStR
+np4G3zWMD9+OVcACSDoXC7PqS0vBtkzKP9nmjUlD+LMB7mssAkkJihLrunsNJAb+arGkkXXeGw8
Gf1tBKjsPu7AV2MyHPn6dtukeY5RzNEoYtenCip2dcgPrHFKbr/2X1RQi6wjKnZFapgrzSvLfZ20
qCLZARqPXxBGrGrZ8wA5Kj3ZJKfCTGC7SSojJSaT63Af00LqRyTjWpDNj+jAy72zCL9NoijQkqdv
X2ul6PK3xI0YKMPf0lEEp4D+VsPAR72cNoHHvph2PAJB06XXaHbTtY14eWUNmcB5TyoFYpJ+1QNq
2joDKEXLxoQ5xnyqDIm5n4MkT+o62oPP5sCbu/rMLlkfYyvqDtaIWa6VdNQmM5rWtO69bdqPi0jX
C9bYMgmebEeMNEEk9T2ZQuFb5CCL5zptxdsBYS2SorjdeQ4DkHgiO6gun4Om6ID61fm7xnz/3oT4
eASxjxe56u4TTMc76pwYAQGjBpCWyDZzzAGpY8brqDeCtWkStxlm9VYqyqShDJerQTWUh0ZGTO/6
nPGmYtBvjYHGSqhLHBkcC2nEPblWzdk0CAFxrMm4QrX41msZqg5HkLuQBqYvRgX2bNTVkfBTiJEF
m/1S5pVOla4ZdPEPFxmelGMEryyvz7HMUgxLSeyDw+g2eMN0v0UnRQ8rtLij1Pju8pSTd+YTG0Tz
kaAk3nQDtkKjJqlbR0i8oY9NPkv9nC3xy94i9BhMe7weyFfGx2u2aBFQ/MWJFfDrsZEWHT/MMkiy
ilTBFNgw+m3Ty6usHL6HWTh+pF0TEUTqBuuRxATGrvZ75YybJJxxDnB5BrvHpkX8FipO3MlaTXA6
q6EhOrqIV7ahY8WySgZOgYgRoBILqyWYNc121DFLIaPS7VttJCmtYQNo0aKFNMqQMvKdhtG1BqgT
1CDKyWF8NPTxqrEzd+UyRmYr1z4qm8XnjCJFY2mQAd9rr4jUARbUhnnolHUhLoKY3UY/NZqZrouQ
LVNP+nbdxIa2zP2Y20w5T+1S+agUzKuu2JbiPv40gEXiDOL+BOeRo7CI5kezs+rlG1YEwHECYd4K
PsdEKxkHutlTUffW0VL68yDYKjSjfS4CWhx5WjfvoULGxkncb0iI6AgH5RIcTbXajik3Jn0xoqwS
TbBxLfu4paXo0TnnGO350KG7jTag7Oqrhr+1VPTS43LHFJnQaYZHHDLGxZzcZpUVDPoaDGQ+YkhM
V6RtW+P4huTA3aXFcIlcVkzg5Q1JBiQhKY6C5XUOrn4x6D7sWtugLOS0Jok2eeuN6C2V5TPppNyR
pX5pmbKilgDbCzNwujIMvLaxvmgLnPC2yMYTHufvFJD1Vh/I6G510TySpfSScKaFnbOrxewB2WFT
I6g6vU5GXo3LrQpxV8ftetlOiRBR19hj0vXgEisySveBiLi3as5PXDAYDDtTwy3QvGZSsUzevBOD
Cpu6Ed9SJ0ZCWKb8HvXwZhARgTYi473GDUq9MYluYRdWL+AedcD1Cht/6hwyixVWZayGnoxbLlh8
puiH+Jwtx30qzaI5htr/oe5MduNWui39KoWa8wcZ7IKDGtzsU02qtSR7Qkj2EfsuGGyfvj7q3vrL
ThsWLlCTwsHpIEOZySQjYu+91reS4bFoDHJIcJ1uxNK8SqIJbDHs4kmyroUt55ysiceTQcJOt/KC
ZZEuOPH1fc3Zu9WI0AfOmGLua8aKKUY3VR3I4NijvmyPVpC+l0b8HrHbI/TW27Z0T5HN+2SIiP5o
pAhbjjvNcq9G3CYn/JNUeZwJKK7FNrUnY2vwhlfOsmeWU5WTmE3VMo80iNC+kYgZqZeqYOvph264
iWoeKeGafNlEXO11N4UXE51Jzjo5YmNPZ/dN1xO/juHFiEwAikw6djkV/fZjl1MkH10lWCDXgTNJ
pIaBdRXVvEwuuIfH2J6/FfA3f6hkRNDG9JMOCJMGiA/RujO4m4IpDF/zoeW3qOLdnE3zDdMmsx52
vY+7n3pzq4E8X1CsvtOE4FPl3r0ck70XiLsyYptsQ3auFJ390qhynbk5dOBpr12mm6sJz/3Bj7g/
u0oQTsYZikUhqu9UUBZsZkGN1gCVC0bZE/HAEgmwnRGGg4Ilc/UFVE/ohXV9OYl53joNL7/kyKxT
h68jMcRNrnpSOB28NkY8WEij2Ya529nigL3C6HXuPvbeYOQ5jZ3w8e+Fv/un9gI9RsFgkimL6Z0B
cvoU3UqUTtkeYw6FuE3D1tX6palpCqYmSaY4mTI+Bd+ynvN5F4uiY6mpn9zmWTY1QymmHQOSW9LE
krfONw30H/5j1ke3phhnyMGQ8UUOGZ9RHTGDQ3/rFQYiLUmqj9DRl49G5keNBNjsB5a8+N0bsQe5
2ruzsrncDIa2rgQKwQuvHour0bA40GEx4m6gBtI2a4jyM0F97S5mGhMDyVKEdUBs7jv5A+iZuixx
p6ydaDkFxgnhtdS8wGhleMwsa/zvt8iZCNgMChi00hU4Z8qkhJMVEU/KPmypKXFRhRct1riDh+QK
UCZ0jY+Flz7+Out43KyBQ+Pfv9bfG6AOuYp02RwLhS/93F+bRqASGjcRWbdP/RZDppjjQ6s4J8Ue
At3MSIl595Bz4tGxP2lXLSDC834V5XsA2wqgl6CX9OtL82RbRHQG3V42Y7/CqOhvULFZ98ngFRuH
Ed63zkyZqS4GUHSat1Vf9A9BLfaTPVovf78MSwfuvKnF9HABHfo+t/dZH7gTnVnH1ZDtnWURWBoG
YJ84QqOc3SrXuUvAaX9y5ZePd/aS9EfxaDOeMFHGn318GyU85Saxtm1oS6amk9w2Ef+F5fJxbFEf
9zF25HJQ+QGdcXH4+wf+w9PMnIA3EEi+fUZZv178gotq69KA804s6iajobMG0tt+cof/4bLSZRau
BwnqD2MqdlPhMiWDmm4lDvIkTfmVjt/Q2Z7agBBanX+GaTqHpi3N6cBGTCfpb1t0988+WFOqiGNJ
ofdRkraXoaZhnmhHHVkSaOUM8hERTrmqTbpnyxS/GHPyQkf8kdARiJnpkx9z/vT3a33GVfp4S8wR
GeFzs9MEPru5aiNXSWDWPGNZ+q2qQbL95+E3Sznj5WPzCXbrPHeF1wO55fsApFBtLIPIX7/bjogR
Lyyzdi8T/6QAq21KA1dBFYK/MDk1r6weBFKefqnN4pib/heVeMaqT4brTmR4hwegwLCJPkFOLlPZ
sxvedYmScLnVebS983gHW471FPlRuy+Cnj5NzuEZeiClpFmyZeKIRaJ7FdMke7Z1XS9J7Zxo44KW
rlG9WGqkMcU5DiSEIK+qwjDre/aJ5HeCS9P0u9ceXA1rfHY4gmj/iBLwTnDG6aK4XhVRl24NHZHh
QKfGn6N4jYFvAzuYatsDCSHMPF07hUY+bC+1tWkKFPOIv02yxbk0tLKWsd3HxpbOpjr+/Q4Rv1+b
ZZKMMscmLwbFzdmwFHrTqCkMyZsPKReAgERrX0f9Kh8K+mII3AEDIFIYdYGLq0fxuXxMWqvIsRuo
93LReoTsdKhesova7IytazIl6pdz85xxKm0hiV7TksDfIOmEgg3+bD2zlvf464Lmw0WG+4L2gqG0
uXzGnwQY9DJY5xWHTQ6l7SoNgELQU8MJ4qsXZOBIlr3iSoIDQOeDahuq+Q5ff/3Jsvr7zBXKADE7
oPWwz34oqH5+FwUWh7r3o2aP+OFCDFwYwZ0AdMb75IXOGaU8ZowOsbGSuQo1DRHor5+XKUhITmhW
78OSrmDKuQd+6kweri7fcwQiG9+nK5Us3eVm7OCVZgQii44I5LAAHDfU8ZughMf1La78gnovowTk
+mbbaqkZS4p3+tvQqpnN2zltOCOkdvn7jfenL40BHgNQ12fV+G1yXFK5CmuO633cwtsROZGSCq/y
umg5dY7FSNzh0P1Y6qUpo/3UNfH7VMhPVqzfF0gfWQTzRHBwzu9qhlx0rV9bqLtNp/oHBQ3iYQHh
qcsVhofps1cTvysTfB9XbcDc17ZMqDW/fnE2yCppeqJmfjlEu6wmoXAZS6J7xyJkRS4NXA7Us2bI
gc4puiH99qUaq+zaKzjcO2b0Vktrus6dZoYVKuQqc4jRcorFmQ6o6hp04Sdwyt/3Ud6xuwyKfSBF
H/q9n29qXD6AT0ceLd+Ykn3V1npjENoIGZ/6iVa2uenN/JOh5R8O/Lwad4QZcEIFE3m2JuUcHZCx
i2ofpjQ2GxzKFOKjuEorZwQ+rumnRnDfrIxYedpTlxjF7z56hvTbjS0Oa6hUJS2EkEERkZZ9SyPU
ti5orVg7MBnb2qbEjD3KbtvVL2LmvPXREyktCqcltGun/WU1I2rggEI12zgk3NxlVFTrorLjgzPj
CI8yRPJJaH/JGyyhlsFQr7Y8PPkMHXaxvxzmwyHYu8uE0qeKwwjbQrGi71PlEH2YuWFISN+9RPNy
IzZIK/xmG7jK6rodsH1xG/79ifvjsuHZDgIeZsImmo1f775azkmsHJaNaNLxLekfNAUoX3aEMGky
MuuKPZAiNwnEG21zutkuX3Q5NHIzdCLfEnIwXPgTPaKPtb7AbnZMpqSmZ9rWLiw48fVjtOnUFog9
prVQYZR9ilO+hL9/kt8PsJL1lcMrihOAd+7Zeq8ihxEspMY9OB9AKHBclpRMHgkn7mFVBsWaPIPi
qyNDf2P7ffbJnun8foSVwsH6h+YFrZF1ru8J5AhbfyyrvZkzRauEGm+tjH6/zOmE2yTuPpU1bsHE
jrNjRwzjJnPYIUeDPnay/JebkeHbmRATo5nblL2LiZLPAMibnG+m1eG6rl6Mlubrx/yB1oZl0Ocj
UAHgFV4mt16mAS5N9pSmJLEgS49vXNq5c53cKTStT2bubmozuFK9SPDuzO5uWjQvRRS88zdDD2xh
/zhtmu9LjOD7zGfc+Pcv6Q8nCyk4fUuLFDp2ZW+5ij/tyj2zujId4mrfMKT4GBAUzjIStpgI1QmP
4azzYQVt6jiambmal4AsMoEZHuDnXcYws9khnFIA8Nit7/JlfWu8R/IVE+biNaAO4lujiVmEbxbT
/u/v/vd1D8QwJwqee5My9bxG6rRRtwWNl70hnQW9xtyEpSLDkUODl25UHhafrHq/HZ597inOpxRl
2NDY2Je39NP1iq02nFRGJUhrG6tHrQmWXyb3H7OY9uPr7RgK9awvKDkQjRDRzJxTN3JlV2O3VY3K
ti5ilhVSjc8Wj/ON8uPNuZxred4W1dDy85/enDfJNDUyvNhJjI5AK97DxDGiW6as+XJV/n75//By
yyOOUskGtw2M9teXU1nt4rSssv3gLnctgt7J4EDltNw71I6fnSDl+SkY9iwqdB8dJkI2i8rx19eL
Vc+0EcPXPo5j9ypIeoe1kCDf0Ql2jJoCnHAZJ5KkjNgzOIYeEhewkWUZJaJsx38eCHq7Tfvu4Nnd
TevJcdt42ls5A/78gWd0Q3elvcwB2OyJAPUwn5ektdjYr8IldjaZdQlEgF+e9GrJmIYYQDv8mHal
BWYcF5hRiWKTLnhtahgnXhtVMkDkgdJi2nEP5WPA7p01kNcbZ1+IyL5Ay2EwUclu2sl01pRtNn5K
m2toqeTKa4x0E6YZ0Hbq5N3cG9i5Syk3XcwPYmG8IRMfV/CZu7uJg9qOjN1048dUaiHBULQNISZ1
nLnhnDGn3pRZYV8gUHXRgWVBuvGKhnCu2kmARSgsTIVTZnTJQntv+408BKSCXBl1GNHffai1cxPF
kOQNusOX0jNm2j+z9a0bAog6fuZ+8qDZ5wd1NOIcwgQiWlYlk3r91y87wOETGDm7PAoKefioe+wc
1UjZmky2OUulOIVu6qYpAXgM4Hpmkm9EvXyBFVZ4qbTH/KLjXO8rHyhUHn/PRWrvJNLDFTuDR0up
d7aTQcyTZIGET6HKHUMEBPfL1Zb2bDyC4HSuguXXp5W+0bF4dH3UJgM+023gdva2U0WJnaaVnzSc
zjcvZH88UDzBnGNYaMyzW52VE8t7k8ldrOa9ioGwMIn9+9N7vnh+vISPwpCEB1wa5tkFpgqDP+BF
EsFAWm+qnvZrD9Flk9VgPlpNrM1kGJ9VReeHAl6UtdPhcEM9wbJxtkJFeCBTL1b+rqn8ZsvwS63J
7W4Yu2Vo3W1GeobttseK1Bm4Pln7SVvLOj/b+7hSOCALDvD0U+m4/HpXTfCi+3QxqndebTCXB+BY
C3vG27a8YOgSxBRouWe1e6TtkO1zx+u//P26fyjgfi6EP94DLXL4x+RYBotA/OdVmsdG+UIZ3i71
MmPTT01L6pKtKMTNFsRYnwTrpDDb19GcwxMX0jlVI6rTUgt4b5k/b+LeV+uWDONdV8zyxWwFl7Jp
Od3F9a7IYnU/wMI/ulBbyJWK/aumcbwrvx6aJxGhSliNpQVRJdC3to9fMe6N/JPDl7sUt798Rg6w
DvB/4olpXLM3//oZp0Rj4mYL3XU8VVeDrcYd9CUyv4BHXHx8iACg+61JIMdVCyVnzeARSvVszpvc
QjsycwTb2PQi1nYMBDEA/7jxcabzXJvtcZzFe40W42D0HhIyzMmbJLLvsoX3Wqukv5jnuMXd7ikU
ALPce6PfM9Vut+BhgPIC5Nrmnp5R+OAR7qvS2BW1mKG5uDgg43GXqaY9wTnBRen1izMlup8M11h7
4ZDfTnP9NCt4jiruLtwBS/nsmPkqgqx2LRJfvxjVksP6b0fC7X9et5/jY+zfdlouJ014NJU+rWD7
vNYCPhQm4GyCXZQpeiedodaQhq+SaHgoCvIq7c6xdrO2cGF7U7gWdLzWKbyxQyZzfwVzJ13DugDP
EvCYpWUfXzZZZL42U+ozXg7mS36Ld9X3mK5HwykPNJI60F+xt8/MfglQDy6p8sy1qZHsubp1do1o
SkR9Qq0Nr3rq8qnb9aPxWNCQ3mSz+uxkc27fkawZ1Nw8sbYreYDPYwRTHCUe7RTsWz2bt8Sj8E2M
A0Mw3njIDirFtquk3uthNHZEJhgIcZr40kq1PExOUkOzCbsVQXLFF3KvkXckPHbZ3LqAdNzU2Imh
5sb0IkiliOM2puIemXSVwlqU6bozJWmqqtuPUwydWjgPQ2+/OIZFcmjgP4Rx8oNaB0s686nLQhv+
IUK0cR2VibzVnCe3cS6bbdDnlONlXJNBMOq9R29g7zDy2zGY5EYnsWw7Brn9SQ/nT/cOkwuHpjdr
32+HwmlMYmaU3DtEcrzjNpC3y7MCFQJ2nBX1n7RxP5KBzp5827VRqNHJJQPuXMxcdPSqzE6zwiKn
2qTMoV8QlsWX9Vxaa3Muxp1thukp9nR8KaRiwVMcv6yBiz72DSd4CRiEaeJzH4SAhL3rcHbbnYXK
Z/QuyBeqYGjyXPcpklf+LDGI3rwxAu5LlbJ9iIGnmWP7e9WCPhAVYj6rmft/rIrkls7mGagpCq/S
1vS2WWRHuxhJ/JcB6tE9A/9wY4m4v6sTIkEdgU4jcyxaXB5o1cigtEHMFQDq8e40/phDkE2sHHPQ
XRde6V8p3BWkGLIsQwMge2d5O0xM8+Ug3n/Bo25s2p5txogB1a9d4afEs8LgbAiRPQmzgqGgSvOb
HQJtR8TMODuOK2MXqGKhVkTGDnIxi5FveduYXhAnUB6I+ZNTwR/uFm4SejGLHn3ZJX9duFvPy7Mi
QhUrFaIcYDbwIGuXzalyqo3v8kD8fWn7/fWYKqJI54hFoe6eV+leRj6vMVfuLi/IkgSRm+6QzQVH
NEfyEM9u88nTYP1+sKRsI+WaiheZuu+fJ7tL5G2NiCJnh47J3iYTylCLwK6rpGAQVc7kVIyAwEkX
9nZ11amDalkuvAyYWVXw8PugIdYQYsL1SOVMJi0bldnzVZuVAxzLtzSObT4K4FZ1X7Qs1265bO4u
3DR3TvJbt6xep2UZiUo3RHHNTedZ+Sv6RaygHqrQtEqMTURv8rECnnicPXkNDCzbMWV4byrgiPPg
vmd+/ipi3rth6nE3yXC+pK8ltlY30lip1GM7c69bBiv/x9YKakOtlYziFxRl9haq3nxnIfJFI8LT
FATskjG34GUV5+bloB29r7xlNy0yxOA155IsYZ/pim5emcuzClMoRdbTTW9QxJE59dznc8MtninV
HlAWs/cACNu0Wd08JUlmEDnKnpkr3lDt+9WGjguxz0bMFGBqxv/6ac79nkydsVM+CQerCmXIphND
sx6RFqymZddNY9EenQQCoOLMgzps4Dygx5mLOLbHWJvy2moY4Hc5/xvoCDaxzxNaxvwRM+IEUYaE
T7UV4m8039j/o1YBgEVFVOoQyMHyMQ3XSk9Egc6burda8q0q0libMDiKIuHakQ69z2fvizf53wv0
uussd8SRp7O/wlMD9G7gqYncSe5JaObIknCM/njcA4/Lh9KUVzDYBUgZTgG+c/3jwNYU7XwdH0/X
/2vj+/9Plk7L5C9vkZf8+wS1OEz/yw96ei3++V//8z9UV75+j1/z/3GrXn/808Y/Ozn/7y/4Lyun
/y8H0yXtflvAS6PH/G8rp/UvfEAAEF3L8nE0uf92corgX+ynHn+a4CLWyyXa6P+Y371/McmVjCso
dBYfqPjvODkpLM5O0kgg0JfjGMUIJkn5OqsWmqioyVuge6CSJEoPMDyyG791O72xww7C9Dh2eQpV
uwQ27tcqhq0py67ZVH4sjvTF0i3OegUDpXS9a8vEIbPqx4R/oilJvs5JHQClkThotgac3Yu5Ijas
dJUwt/Tz7OhUuW6RHAxnqr96uUlMRGUlpVqxm0fU0VHRwufjEzy1A0uqpf3BXMm635rTIJC5Seet
nifia0JKEOa1sL7yTSmgMa/ngdT6wOrS5DACB5rXYjQnQV5EqrASzj3K4x6jxa0tmh6aZF1j/Zhc
K7om2cO545xHKEnW9D6guHSoYd4bDYQwWxbme5yY1YxcgkCCjeMYzn0Zhw5+tLCIXhr8W2hKZDh9
tz1D39ZpHi6Ky7JbSzhU3cpWTv8apy1ZQ9It6GvVXvIV3Ud7UCEQG5SwpsmcwFOboRDe0bI0quaS
Mys09lJ4KxuzwqP2xPTC+AiAbTkL4LHs78lBSFA9dCpURtdpSguwta1vX4vCGq5xfRuXdpEjSVwS
yU92UnTWg2CPgkTuTE20c4LaDp57DdN6aoAtbvPARJMwl5FYcOeWUeWrPNIqOTZt65o3QKIGUk6a
2W6DXYoPQj622EOW8wjT3RB75guzT7yU0Hq4WPGRwM+SwXc9bPk1ziUBZQ34K0nmjIWJiHQuP+6t
m8iXTJ4NH4ZeOqTNxgoh9zqdOd7rxHxPp2balhkyqoF17khqEmzVmgQnBcwSrw5Mon4K5xNbc7wq
7MTF+uAQwpNZE+pB7AfA57wBDW7Q+Q80Vo9DbVg4G40wgNrVFVsnDR84WkUnO++fRW1T2XhMQbk/
EPS5P6yiOJa9Og5jVO6N3CyW2Y5YLxrmrU0D7zoSdnnhcdvcF3ZtHL0RiG1qg98CTCD3mI0WK3R9
0XmIDSLDwdSPTXIO5TUFSnstnQpZWF80V3kMilWYTvzD6dt8L4HNPCfaBT9pZ+6hgycNNb6akM8D
P4MYGt1ksvYJQ+6qe5Ce1Yk5KvP5zJ23MxO2RVBG0m6Ujw+ZhrY26Sw6Tt0wrxrfVxc14Z+rJKjC
jT8S8uhUKa7t1H5oQKNzYIow40Yi3Hlh7mydElYdeirIBiGtBEt31wTMgwUMYzot6eR2j3lc3/a1
QtliziBQ8Zdweo71TRjn4PrmSXNWQdHlwpmsXME2ptbR1N9TpRKn5hsPZVn/03XJbYa+YuWG2FNy
rfW6TFsf5jxPWSQNhHr8hNl2Vr7Qza1ZjOxHp+f+nwoSV4rwR27Fe6srg1t2WvMfBYp4par6svb8
jqamB/s5MEB4Z+O7X+rLjgHquhkMvvnaLgD6ZbOBMDiCmNZp5A0uTm6bDDA7ofiAhd9epTF0xbIt
ctKc4JUNPvjKfHLnF4P3vUvTcKYuc5q9bafDtYwzFOHSGB7QFz94mqBrwrZ8PBk50Q8DyW7SGR3i
/8byToGo2Vo+AChGwfMJ3VLnbKZidA8xwZNY+Yy+23ipsKFAOGW0mQh96FdmKKanhMwpSEDhcAqC
rIaZ58O+Imrvu27Ue93YsM062VwQ7GXvYmsIthT1hD5nfXHrkvWI464VFyPK0LeqLoENU7vy4Qe3
vHU0rDzw+zRLxRLooJHybAmtl89DIKIfddYjRf5pV/1DX8L7GOL9XO2h42BGSVnODHgpG876lFUF
ORWiEbkQou012WJD4W10Uk03LR6TL8CxHda4CmfBYDeAyUvVl48lMCq6J7n1o4tItr2iy2pZ20y7
aBgECR6Yo/j2Ee9bbFODOfgoY+HMN1sGvJBTSmnFRxci+XAz4t8nYQII9VMLZo4wN7O0SQcLvN69
rJNZXgNZz25jGbNENXXYIrW3IcRpods3dNHLwSz2nrN2qlDIZhOSPpis7go0tcT34WNTCMKsPQ6D
P+071vfLOTLGXR5jP5ntfjwweQ+I4qV5LgVnOxt4H499qJ8CcKYbcDE4vToa6RxlQXlqziEMoV2C
8Ub2LS0rOvFIGdfeEMzTgeBUkO2UfpSje0SspEiNWO8Oypzc4sp3EklkkgfCveuhRfn+dNG2wjnm
Eej/tXJMMsgyr96OlXZviqm1b1s7jkBaTtvZVtQPSQ1JtSQ8eNWnVnVTBAXIKDTmN0hk3WfCLG0I
7ksWBsklu1iXUK1NBqZkugJPj+RD7EpiSHCIptNlH+hXQjKALeJQEPTkT3X61vdU0YYlryqL+sal
0blhItXex2aGb6ziwnHegFJsoquis24cSrNLiBVx0XDnTDI6HxKaUd6LoUtOBDrFiL9t77ZP4oNP
c/bItpLRg/LyJ+XXYKdaeuTH2e+oPaa67bd1hCkGK0H5kk4LAFfUbwT/uWsFtHXlzlhwLe7Nm8Zv
rAeSOr77SBXuq5gnDxVLd2q120aw5ePWABNKdtdx4VxFF2UfBeWPfHLqF/rB9MgkMSDOHpu7e6rn
uhcsyq47PgfzCFI0AGD2OqHT+apDqqwHNzREyfvzm2ntMdb4atlRfJI1ebvk5HhvQxr6i8WHaUJE
SMYbpV6LzN0D0F1a2t0HhklcQgwVUBSp92Dbhv5uo75YZaSEPIhy7OItpF8YQrkEU9h0RP6Osbru
qg4IYcg07JtbyOjehJN/naesNw2xWWvdDdHGc8Zk63mGfGzodIDztL1XTrWZz3ZCOudhgK18kZA6
gH0OV425anMjux/Khswzxlw2ZH6VJSYF0KKNczhwtFsWu7rZQd6tNxErFspJNXfNmrlpdCo0SSol
eyPbvo+MnQlycz9VafG89JP/6SqvO3D00oIlsmKmU5OcsMIvAzBZduWhnoKZ1U9ittsOzOyfPBfP
RjZl9qlyih6aZRC8dC2Vc1I49EtUGN3PBgBPgh5V+cDbyB6teebbbWCsrWYnNy88OfSXceO4GMQl
aURxBj9trQLiV4FitFuhxNcJp9QFjRfcE+aUpaSsJP7LFA7vfd0Z5tqy+v5gmeUOnDlb1+Cm7j7L
pvEb2iy41OGILGrVYld8xdvaP1h17ryEo+/VfKM9uMSoFTJZ+JmII2Rhf5szfMRsSsZX6G3pPWHL
wWvdNuOj5SytK5ruGS180XIuKS334KRkJGzpQQvg0lXW7cCEe987z0kPtdFp+lf0y8et22Ud+2pF
03jtjHr6ZkplnFDY4QUsw9QOVqIMs0vDSZtrp/MH2Lii/2EWCt+BqVv5TMWuNMI9YdiXVSYiKg0Q
ly+iGyYSqesxKda1oZiMajaLr/SPigcXrvxxCLGeORGaRXw4Dk0wJwT97gacxFZDH7QXLHqAXsyp
H/NNFTbFtHLHQXzTfj1lh9EZ4rcprSiaizDvr+t01qtGhJho8sxv50vJGdsknC66nEaWlx2qE/8H
WCPrKky87iJOhQJObov5CduYqLeWttCCRqPxpWzd+FZ7pXyrRks/4OijybjckhRP2Qi8OIh4CGHO
03yUcJectaI3dYVhxjomeJWpf8ZiiFZaR8SQ0raObrEOzI/aTIwbQshZ7H0zRjJHMJjxrjunxE5W
CIIT29Z0TyBPaeIx1OyvG4xuX+fYtt9oM0549FLR/DPpKDtajRdm64pB80s50rnekfMWwVtxnHeR
9D0IQMyC20InGO2bxB+3odFn/UqlWfMEJnyGlF+OxRYhiSRANZTDNsjkBAzdaEdmffGsL1uVBjc0
K4N7rk95GrTFqdNr1VdyFq2tDO2y3DCPE/V6BIXytSA0E4q01J1aw8Ilazsil1U5xrCww9Nhk7q0
T9YpYpVoldZjdYPpO7npEhEdGsNuSY53IvugysRt17mf99iS00wTCZk49IVKpYMnTGPQVt3K/2JB
MnyjjrGrVQqh0lk15eRN3AqJOqlpnGi0aTxYkxpehGk+9IZuHou+AXbdof25gexgVrd9NsaHfhbu
K9Zfnx9NOaE/kRiPDSTeLdLv9qVr7Pad7E9ZbIyhkg+ViWtrdtLoCS4/O1HWQ7EuVBGjovVlDOnd
KrMdB2HjOgIs5u662iC2jA4TIwM7/qJ6T1xMJcwwotByM90HnUG+S6TkcCJdQd34ElsDgUozzIJi
hBvstEff6+VXsDrjg+K4NW4s7MdHSiUv2lmjnR/R4Bdqp5up2Mwddyfex6nybxqL+csGG4EJermf
9mYz2K/9VKojRALI1hYA3iHwJ2xGyhkC6smaE1hMc5Lkg8YYbw01FKuEyO7vvh3pH1GdE2XWpbJQ
GA/75cTKOvFKOUtMHSW8v0bTTwRWaRCqPLqDz7EonZ6IHgKnxiUOEqyQNQGUdh3D+oBNz/G34cEG
IN7P9sbwZXNM504/AklLLZgQI51tM7eJ84xw85NR5zTXEpY4iT7e4h/vxpe6ssPspjAKj3tYLesm
EeuTvWE9t8E2MLK6rZmO9VvY9VWyHxuHqCXTr2a4F5yKEMIsgTFJPXAz58G8qhsdfZ/VbF+2Esjz
FpvJjMmwIOyFTA+JVzDNG3NFNtY0XQx5b0RHoDcq3uIdBesdcGwzu7T4MkKt/cfNBnk0jaB8dt0s
fgrKvptWvTCH/QBHnJRWGqoeQFCSCGK5nnFdvmfWMFERI5vE/FqUOUjrVvabiTQ2pIausWdLajbM
GKjjTIqxQiypZhHNFARivvvdQSu/+Ppq93EOLJR/giIyCrwLH13DbsoZJIEEmR/6cTJPOd2ZjTAW
iii492mdjGl133pB+L2aa/TyLiGGuTlO7Nkt8QpdpQ3qRW0n9zNNKQblcf4MVrw/5ZkzPlY1CX2U
jtiguNbmTeKjsAvKOrxuc9O96HngHyfN0V8Z+XSI/BHCVDKW75X0yxtXKPeR256TcOpcWHS1iXEJ
9Uuke+ey8KyZmEoLBalrd6AQcfIW2i73IoNd7rsPnMnVHbLt5hLQAvqfzq4OGZz+rybf3FtopyBX
e9Pd9WRyktJsZVd1Vya3rT+taVM5K3TMJBwPgj5DG4roXTrxlxDR38Fx622hcgiQfjAQA2pE28l2
1RUsgq8B9Ot9k7XDPogDwlKrBte+h96ItvlzwIJFe7kejm6bfLegVy/dCmBrKiXIwQYb4oruQsRh
cvAinV+GMhUbpoDJOrLG/Btq4PJ6BiZJ4DElArtDe0DAog/McP2NoWW64/O0Oz9xbEDOe3D5wScz
mN9UETA/EakzjncgbFqWdzatN1h+4RRW/lH0ieDYuZzSpF1Fp5q4kGHtcgtNa5QI1qrubDA8U+cf
AcuR6vr3ehLTy3m3E/Ua8q6lt8q/YEX+On5SXYihlMSj46Q84pxa/UZrfIAN1DtBeyNlaXm3mYld
fgsIZbjvwYqrhTihGc/2PN+x0z8No3Dpk01CRTvCDuif2QSKNq8ewSXOxmkN97nBhXvLUJ0r79n5
iyTlhLbE0pArht5688nFBqhM1fhM+8MAB6LtB9EPxncVQ3bHCxx98U2782GdRMmLTuzFDNc714GZ
0BQAuPAsVcSNksTjXVN5KRQXrD/baTazS9ADakPyk81Bwo5uBmy3a41c6d73i4nsxdG+7vKI7bB0
iXMf8xdhV+adFtEF0VNyLZampb+0L2HG08nEGcIKaaD3jre0XN37+qPtGX20QBF7me8wnmkHCKfx
f/jSk7ejm6l7Qi6sZ4SETbNqANHQ/loO7KN2O/hikUwOCQOUL3B6uE/zj9O99XHSDz5O/eNHBZD0
2fTdLRVrJxOwm/SjTrB0ZR8IaBxXGq+kQEq2lBN0k7xXJAz5isxSeTRC8YUBSXesRxWhiufCZ8TE
rAhJqha9AjULWgTKF7lUMoDD3WtM9vzvUueE8ajjrZzZn9MKumZqDVRES20klyopjodko+rC3YtG
0aNcOqJrVhPjLf8ossal3kqXyitYajCxVGOTQXu7gVIxrenlUK7VAemgDyR0ZF9dkdevxLKZ3aaE
RzQ+YwviIrlV7p70TH25HxyPXjiN9PpFhbVX/jBir0u2sdtF79rGtnT798dE/GbLoN0CsRB7oGA+
YUlxpt3qSi/tYVZ0x4Sz1jXRPBHwGkIpW2VnR+K/5LGRqhjWYVeF21FVNzKvwqt4rP43c+e15LiR
resnggLe3JIEPYssb24Q1V3dSJiEBxLA0+8PNeeckXRmZse+2wqFImRaxSaJzLV+i2dVcxUO2C6u
QdNmLd6AABS0TshMPbD1UHBtg5O+QVlXA401Vv1oK2IeKpNim3hKFK7c8YrQkHZdhe1JKmM4Gxjq
OgiFMfqJ7pOg7KRyDy6VC/ckrVHYPbrp0XKNx8oSSBmjGxF1mLOjGEGGFW0NPX7kGbfucAlfWMyw
Z2u2TpFuopP8D15H6n9T++5eJLVD5obLgMrdoe+HystvrpvqNzwbaPlK24mfkJ4Vu5jYnTAee4ov
S6tUYG9kYt1xuNQ3v6HqvGWS6TYO2LKiUZP+g9AZ8+w41zodq71BogMLeFV8eX2LbCPzewZJp7uZ
9Dm+zLGKNqWVEpTuzPkmwJ0q8Wp70buAVXgfnUkWayXLZht1mdgl2PQzbl3bg7NIu23qTfG+8B0e
OdtVLr+/hmyDSabDl4yCgOur16Mdm3CRbMY2mBahJyLDldcPwZ7yjeiewgnxQ5L7g+4yTsIoKrSH
EWQEpCChdY6U32Oeooww9cS4A1qc+VYydOZpMJ4QyWofAVlwIf87mnE1v3jIknTpLXCq+lmfIp4A
bKarQXVgZjA5YuvS2o0pzhm2E06z98E0kifS882XOkX8iP9WF2uqCzmaRpXez21HjS6CtpPDKbW2
Pa8LS7gG3CAEmHjCSJ8LvcUQkwnieFfYS+1jYul2zhLjRmcsUvqOWH6d5zpIrXMly0cayoi3yQEo
3O+bCHGXfe9qTXxRtJDT+tLofbRKscz6tyKLCAusFhLJ+OaTjG7s53X0zTPpC+XUgOoukfALExVR
4kXCQDKlBCwV5g/jm7UK4K/MbyarReqyhYD2XvJvpqswNY060kQtEQ6c3sWG0616p9QhT/YWsqX4
DmMyjXvLPfZl94qOOWs0fXraF7YtXQjtFU2U/JXNwHIvpNY1hyYn+U4pxzigquqYq2ub5boPaBxY
kU2VpfvUd1v4bwAMZ9PQkXSyeot5gpI0MN1xgXczx3ir/Qppbxc/ERT2ljTLA0KP9zR6ybGOZhT8
Q+BtK6Psl1dNzAtM6WkUUEStVjp7EuXbz/98UEGQ/kUFiGOawYJDyiYRF+Hawm3+SY9OuU6fAYl6
hyAmPCK41llzrob77x/yP+K4/y2B/Zfk4qdS8uffw43/F8YWG8xAmFcWSe6/J7mfu+6z+cwEScV/
obf/+Wv/wW/7xh+6bfo+/0cEmbrhMHP9I6rY8/5wcLoR2fA3etsy/rAhrnFw2XxsxBXzQv4vve3/
wb9YZKseD6W7kOLf+dDEN/8fwoDkZ971f/79n4WNjIh//YoQK2Dx43EXomPFjfx387OIpqpxLNfc
keslQb1zV81r3Sk12FrP+WynyLyny6Bc1VWmU/s108ZMf4trbi277bbK8dQ5wJS7zgYdxD4FaRTV
c0/cQzHAKXso0zfCJaqdwNvhh0j67qCnDCOrtCNEBcUp+v7V4DvzgcJePyN2J9EfotywtgVllVfT
qpbKbsbxFNiawIfeF4SF9SPd7GrPxdn8ipuBM9PLOIICmQSbPDD8O73rk3OMdzKczDRh4SWARpoW
/c6dTMK2S/1TCoJEEOLcrGsj1XYCBO4rZf8B96gnfYvRxN6VU68/0pGWXLPKrbEGmN5G0shBaVin
5qNGEfRGD4hsMmePlEcLKiBZcV985ijasUPEOVVSfm1LGuqmTK0Zj1m7nN6/V3kK/FtXgCO+Xf3Q
EQbSR6Kf7dn96Gikok0U77Od70mZRxjKhu9M90KDvnbs/uYVBHvxyW1G24MbaAgrd2NIVz+lZ7XU
3DzHMyCrS+WPiiqqLHKfOiZ/QtvyIdI3UFpI89IT1B5+PF/aG+rWAJXgQ6g+l1MgOfcafVgVvVl+
apY2XaamiT4CMDVwA7+6za3R06kLgfOUA1gem3Rq96OrUaUlBEGWemdBu/kdliUzMLKDK0dvP7Q1
nVdxPzwPeJRZZmKHPtpxRuJraUsWqK8dSrPWfraU9637zMG7yTeNnD56pF5V7lJgAtrJ+i3omMGu
NYEFyOQrcSl20/lW7gNRYvCikL7Y6TS1fgyO6V49ZFwrynDSH01Vvnf+5FFcN3s7TxbZg8zs4dZO
nvvCrZIDaQj9XCS1d07zPt7Uhis2DCznqGTEG/Sx2Da1pe0DHQdSFNvmvQfHzRWQyLIiKpRvNOXs
jCNRf+fTe33JR7vFB0Vj6drwpHGe5gZOGnzOe+k8U5hrCmHFoayT6RF0cTxI1Ro308h7GzKiGj5R
46ojsfhg8Wz7uyGbuw9FXO0ZCBcBJEvQU6v7miDdvlTU06XNR+5G0MVZOrf1GkmwU98RcpfTdKxw
Gm6wBmAFo18IJlVB6UUKtwwumBHpncaPQaWiboPryhe7BJUih4WPos4I+wlJAoc0K8gNA25iTrPa
QR691CTSP9H9K8cF+ucsMZO7VCAA84H3b6qbu/OAH/02GhTUrkzPmR65WI2jnXVtBylolD91LtCr
3k2EU5tGam6Hhk4Xagb1JerN006SlrEesawqDX5okV7N2Sou0TBnt7ahsaeLxiLsciPfGHDEe8+j
dWzXaaq69+mVuaJtrs6CYibkjR0VoS2O8a3vTC0VcG6enM00MrdeOblngwirEyA7yaaW2Z0LvVIX
IXP54VQ5mCz6NEp4zem5AoICQa+s6MloJGOLOWPDVbhZSYRrHp2iGjeJPRS4XhD6e0gAEBQsJTxR
nKt7SK3xns4DRaVxSZJ1BcC44UiF0aYTs9abvVcSvEnBqo7ElWmy87T6ZriBvCWO57zUbBAvaDrL
X8oi2Zueo9LcR7OvPXpTb16H1nRejIjc57WBDvDE1ItMj+CkE3YMvtKFZf1mSsOSaSjSf0qd6hzW
wJdEsDNlVgaZDyo8h5YxYZFAxrAz00xs9VbQXj/H7bq2mxQBCnbsR9uTEYlofgft76vpUGaFdY5l
Mu8mmml36H8ITEmbeRMbqXGg8Dl4K7TFfdKa/UMdNNGNv40OVae8t0TR/SnjRhDRVdR3JuHzd6ga
C2y23bC1DVN+wD8HH4Ev5a13h2RnEoK1GWe0LhnCTWKoGotEWc0zD022aJprVPVrEvQEVtGcjqGB
qDZSipuDPRuAlfVIM1iW/MSZ6q/doj1WouGM51aTUflRWXM9UmjpPcQ1UJEcpwPrbfxUp/nwCxOU
2riNNe66RhV0B/dmbYTuNJOwpyPuEEC8Sm21yXLjdddY1bnytG4xKix8NBx17hM2EOlmsXcQ2q4k
OhzbemvIRHD6RLsY5bCXSyitl8SXEVJnz1EdGstmI1NZ74NKNmHXGOSejSjPwqbpElBbLD/5MbM6
uoP4TORKYI1jLRA0khJzmx8ERWUL7BUXYQNzshJN84F9mJO5xw609pU1VhhKHfXYtPO06W1zDs1a
OdsigN2zNEb3kACpYD8a1RRK3DXxahqDlUofvBkdRI7H9qa33GfgVBn9GhDAtT/J41jx9hR855+k
Dt01j5V9ES1891RG1cZoi+lkKHNHxsa8Z8eYqe0w8zf6fL8yLq1cRp9i9Nq9kpTF+IW274CrO6qH
qWIHnzfscj3amvWAm6A/2mmpP9rTANHRUPV8Fdif0X/52MUQG+j2xi1GYyvhQwT6Ie33GDXu0TDL
5oXnoz57ftXv2cAXlLcvv2Qnh71vVt6xM6v5sxEYFlDh3aLMgADLpzkk/Cd65AOQvKcmkagM2f6n
b0Lc220t7ox4TDf8h7SvtqOxq0j2uQG06+c2SWirHHQAcxFXeDs0kuG2CjPb3nTxunM46fiQNfrU
Ik3DYUmqf71qLAi+JPZVEhp+4do79lTaPW12UEho1lEx2sO+QJVI52ZbuPkOULx8YL5Iikseo3vd
aDIXgv3HWouDTm0hbv66TtU1GMfmqMhBv1+A51+SE4cwYZbkNSE4BPJZbvJsSZmGKePu2idx66n1
hnxLPyQB03Dy1l7ixNhaqQmGVCZ6aIHHrWvfTPa6TDCIeKp6aJW6LiqLoiLAYmzaQ0N2w6ZHBrby
ySUlnIwa4xZ7zLpp1filknH8rSrzqwUj/4Ct+nSrpSDdsePyGmixiyKzp2rRS5J1UVrq7FkknteV
PpyotGjgMykT91qBbjDnemr13jpatf9kzkqeWnqcEbVoS74pfRuiBWHNqzbeOLlTbEXbJ6e0KNS1
MyJqysGkH7uM6CI2RRd7QuFe3HSKvnyrtrY8o0SLitniY+jlU+KULJeWT3iaFOOunYduq6XI0l3C
fB+J2WnOVsHVuU7NpdDaJix6ZQ5BfMTBO2xbwmUOeNXrH0Y6jCH1RdFNJk0f6qr0CEnj4izb1Lnr
EfastTxCuVCDJBEt2ZPDSAnBSiTJ6ISUq9ahgxyKOMpEefjidbFNaYElci9TNOsEpX3y/GYIye+x
93IEI4q6QIRNpTuXXjNpKZzsjGZTZcDeEqFSma0F3j+oQ5JH5c1TOfRI785oTWNy4d+chN7LWmXV
g47OZ7N0e1/tpPCIjpjtFy66nOev8dkOEtcMbejpI0yjv/eirudoqYrffpH5F7d18ucBb8LO7Qo9
rAl42c8ZFXRBPRGvihUKkWEFcUWxG1fNVBQrpgFrk+jFeG717t7RW9rMKv2MXy8lcqB51RCX4/kX
d8NE7eOgxMqKS+fZIkMQALuBaCtZWtC+LY5EfTxWDqmyDRlDzWq0gd2o6+7Wbi9RxPHFQPEiMeY/
6JnjPun27GymuIv4HYzo4iPCi/+0Wf4LoRfk4n+zpy3A/Z9WeYIz5lTpCHHALvIVJs1sowEnHLFN
09nnYMtJC6U9g/iOT75hBG+TP1RXAi/jkz+Z9XuUqDS0Bwb8leaY8U70U/U0WsGMhA3CHRlcAusW
aDfEm6bgoSV1joEWLJM8R0YJEOPkjeQTTWOoKdC1mIREVsg4kTtmaAAS7WfslvGGcI7yqqWQKLJx
X/q6XYohKwf9cWAgVei9EyKsbp3W+Cjw3vLQ4pK+s3MMO7ljNc6GXNn50AjP+2BSj3eOSfQ5rPYn
vZ23vusfbSYUwm5wSpN7MW3oKpnuh75AbJDN5E8uWDemO4EkAfkAW6kQ7jZHAsOxHTfOl9nV1M1r
ADxc7pKhMBw0o3yd6aI1N1XiQ3M1wh3O9KNOB1Ez7QLomO499qXh2gIULWyEEV2IgzZ/OdREfVUE
O20qW/NCIDvzoZwzMHEN8G6mbkwPqe5xT3bXa3uCQlA6p3NZQ230yUxAvT7+GtrxrRVzTbuBk2zt
RuZEhtf5FkeuvnIrx0IQPSeXSDmQk7VsCDzonXmGBx7a0Dbm5DpnBTe0KMxjxP56S8AoofTHIXng
QQ8ORKSqg1nawwGgkDq2ZGp/V6JjFJRKjU9CErm67pkXkBTVRe+tfTjFs7nM2SjhGLnz7/Gbekvt
xC3MUI5MG11OV5tbnV0eRaoS4motk7z1PdRT8Wwcje9JXwf05Hxg/lea352DZSfIlu2ATt7krs8H
E9NVjASuTZGEVkTvox5gwWi+dw2XyYzDaFlBrO9tpF8WE7msKPJ7WwHhHXeqEVzWLuHyNDjiyLH6
WqPLiIiH4Hvl8b/XH8Nrimrf1d5Io7prHMfGgRCyq5QPPOOLixoUxbBjeJ9VoZsrul+oBCiG7mbT
ELab/AkPjr/sW3M9P1aN7W5yrXrQqJ9H5cMbZmlV+YBk3EYswqRMht6oEa2fzEcPtuZEWqCA/Y/I
O+jTHkGlzxhG6j559CLWjVezdpx171vWjVgf76XmM8B0vqyMiO7Gdfa9R2bEh11E1oEUsGQiZ8FC
+L15ut9baLAspJVhZbt6WVKRhBfb3nDjM9ki52pZZZNlqZXLesuLXBZdVt5mWX6hlZc8TxZif1mN
HS323wubNvM2zciKZ4Hul1Uao1jxQTN7sfO/N234tGkvlvU7WBbx6Xsnp1/UQvHLoj4sKzvUpvc6
Lmt8973RN8tyXyxrPjoO7ZBySMuo499i1iFA9RsZyBaQAOzf2zsLcGB2fbD5zyfqN/b5J+UsTOvi
HMHJAvyGU/rvKVNtEFgsCbW2mzrfPhZZcuhMOoacSQtCc6HyzcByboj2NGNlBAkCvKR3doPpGe+t
LxDqN6UXf01Dr45oJyEOfaO9+aB5bwwG5YvlV+c+KTAv6SgVGJ5gd1AJwbhoVcZnmloDEjz0VXrH
0gnVnxreBvurd2z9uCjDbuJVWYE5MFlFc/GJhi9H9dO5AsH1cpBl32da+n2+UYfNWWd/n3tiOQKD
5TD8z2/Yt8P3L2/YN1LIME0/Dz7o7zyqP91AAWKVyR4nNPor73F+s97qT+2tflB37T1cfnHV8v8m
duw7PuZvPxFTYgCITSwjWS9/EzcrABaJAi/aDa4f/cjLNumQ2abTXTYms4mZFbF6M9WduzbiTPww
HAKcK0oEf8+GMxL4S4HtlnAd2h7QVHZjOEcWd7iJekLfIS/VXtuucp+IgOCqoz1ZYSQjMDkLu2xq
9mNN3KElSbhyScc/MMlwPgGnrFzPf+iJm9kNjJ+ADTLdQo3U26lV9Ymym/nDRVJ6aFWUH4ba8Xc0
eGjPMlHNue+K7J7SWFqUc+LuTwMD8aOgevnTVglpk7kakW+NSfOCQms5v6jAeP3+GP9HaP2/xuH/
AtX/W0D/fyNaj66KoBImon8P1l+SuWw+5V+A+v/3y/6B0wfWHzZ5pA6uIkJ/oVL+2Se4ZKFAlIEL
mdg+/+lCs/kVmHT5w9K5GZw/wfTGHwGnCtEeGGv5ta77P4Hp/z++2aH7jBwHspY8wHpe+F+nv9Fo
Z7og2ESLgXpTkrEqlpBa7prUuLMwyB6SaIDdMpCxxf0vM3KjS+ywaP/pLfsXU2jwfSj+6YkkARMW
w9Q9Z4kvtRG6/vV1WEGslUYZDXv4q3zfecaWcYwyQwZjzNIn/Eq1e4so1ugZN6FW0beZcXRJUQys
6sZ66msKcBjlYXGTO0svTlZKmGHidxTZUzmiXO9UGRX6ICBh2+nup34iV6qtVw6x/jgznlWLXYES
vDEq6G1tb2M2XlVGALWFdpRIj6hFyixjJtBKrlIne+oTqwlbK/60vazc6GjVNw4IQ7VMg0j1+UGb
3ie6BlLxrW2rJ2sCK4kmWqesm4LYWNl2Jla8sS37zBtXXUaF/KxvsfusytE9D4U0to6I15N5KbVy
69YW/UuvWjajhk4f6fQ70vG0Ny3vyIgG3oR9wKsfx9F5p1WOivsxuyMxpV/Z8UAbrl36e8tJXkmG
u6No++iOzq9SJHtf/9Ba/ZkVHweKd2mc5sGNQOa6MkSjuFGmWXPI8TKIQge04gyb8h+A/V9JbS0r
smWQPuT+NoOZk8kxUVLOloS/xKg4ejMzubpoPgFp5KPnK2VAZUzuo8zZQvWHtvDWJAS5hJqqx3qM
bxzaqHwZA5+sIKNgYAqJ2+9cdaxT6xlUqF7pmr1y28e6GH8P0j+Mrf4+k189VdDKQlVvsUq2k5Oc
zNpytnJkJom48rzgma/XKnO20Jk2GUxkv5EgHk76cBdr0VtUcWS61gO5KmSoeP2zYeFjNr5KKe9a
Fv5+GBHBM+GUI64qo3PICDGLdRahEhg7lF4c/jaxIzqiHo+vZi3cZwwtOkBc8VWiVqf8Um7YrOUC
DIUy7X7qHVhepEc09U1HpMohInT0WOKVXf7Jlq9e08zXlDyy12EGT8js+2gchp0/LSpPN1YH23Q3
hOudqLOC7in2ncje3D76lWnlZZqvlfPc2pJkxFpDIlTp9/DeSETUfKji9NU2CoWVrdwMqbjNkXce
Rsp7XdR1jnW1p/vGry7kQ65bYKlVaU/lGZXWvu+NeNO7SKvHCLws7WDGgT46RI0kPjrZ3he3ITbO
RQl1HxzawirWlEUy8ga3ZGlmo4/ztaLscM7cH9GchOkCcWaa0VxY4hqenCzHXm+F04iR26d3Lfe3
dXbDoLdWlXEvpdwYpb3N9RmYWu4HkyGzE2pFXOOrlqBJ0PIdXw1voxNCf7DK3sZzo/fraHDvyt44
CtNDpjI/J4PpbOree0en7a0zpM7Ml9SrIQmQ49Uz2x3VAuti9r3TUCgwEPHTHeybAQvJ42ReA50Z
tMaMkwTxgTTCjyKrD0xxX2UGGE08BZlfVNaYpdxmOUhsoaszTjFiITwi+ChFeUDG3q7nSL/GpNOH
hXFrXNjRVuedx0ID4nHwq+QikwI0mGoycvhAqifsRprr3By0IjJnv5iK6glT8G7ABbtOHGGgP69+
lE6wsSf3RcI4uvyDDTD7NgfC3ExjSQ5A8+zNzTUquvd+khXOtl7g3PdfZjU9egrzyBhcRq87lXG0
GmTzhPr1Olv1e5c7H2ZnoiGNzvrUv9dT9ppNntx1Fb8PkqQnrQzhTEMwM/NhsrWHwOftkcQfIA89
IpOnsZ6Oo1VtlyZxF02693x1UBjbTAq656b6bWVyV/Tppx+TMoj7AF20MC81FrFVUVdQXbX/ixny
ZXSw9SOmDGs1bWtraViw6YDDdpqtWqPY+3PwafbUQ9RtwPev03e5i8nQTLVnE33eUv8W8oTddZPx
WgcLE0BolS37Yq3L9jPNPB4M/KKiU++klcAl+E+a8s/60N3NJvRli9hn17IzmWV8mGP7FwEJmMsa
CqPQvZ5n3lYtii6oOLZYghNsnbA805L3oWm2vxYNYbMNveEWskEevUOHWzLEQnFrKnCBScQZ7IZ2
gVUvqP9IvnBPAvXlD3S/tbzN8X2b97va4/vQ+LyTWdi43qUPrEM520fV4vNtjq7o1pnnJ/sSAB39
z9F13gHPnyMJB9Y1YG/4yvEL1SWHkF5G205Eu6pxN1X5IdriTgbe69AYhzEPNl1un1Tb7RVAMraB
jUHiDT4h96An8F5Z2q0y77GO1IZupf2U3NVl9zqhrVcq39NPtfZz463Pu6upBrJ5gnjlBbukiyhz
aqP9rIklIqZ5ciOEEQvdLuyR6bh59YMGxBQtNHWFRWDuVd6fDe88ojTHz5tQLNPca7N1mUZOrmp0
V0HKI6853s0Zxa9qOsWDF5aefhXjbznMd7oD8ZSSTKNbv+Hclo0+3fS5cWJ+o6wk+Z2YxZeI7avl
dneW2+yTLH7C8B7qPduR0wRv8OCbtP/dkQ1RTxyd8Cat09w59chDWL7xiLzUk3P08o/Bp4tmKD5i
Ev3aLD33en/1yKawiDffmZG4kFb1SjkcntMSAeh411NWN1XyWjvyQ8Zavpk0+0fg1XdDb+7Lcbqg
CZObLrXWaWDspdVCXPafgNRvlHaFOR5LAvV+ktD0Q1rTSWjU9USrYjSJQSpZLkR1acn5l7nRrlOs
GsmjKY8L2idIMuRY7okf6yTZbNCeo9wp6zKn/gG25KoHya/BH3A4xwmKfu7PEs37iCWVxVFk+oUu
K3xCUByxnd03hUuRlfvQSxSb+MkT2b2LS5ED/DynhPlatbalsx5XYbsn4qNcWUPy4iUeGtHZDAvB
byu9kYUGYLTLR7XHQvRFlPZJJFiGat7Axjzb0kQyNuagtkueS36yoUKI2XppxuZHUPdR2NlIIwhX
eXFqDeNz1s3rcZH0Uwd8r1DVA5dD4xi6zmBTYipY+FcK+I5Zmq+xrBDabTu3Srjv2B9+mlH/2uLc
BHphRbWbFwIy96VKX1KvCaFb16457ABo1+78NGBx6zl44UHXliMf6oow+ajdTYYTeoO2NuPLoJyA
QpTxjE6Z0uRyHajfOTwCIcddTWcRWZZRl1xT/FPJtHFzbz0+jLPYli3tHMW1xry20eAWMfkI7o+E
pJj+AQITXQS6slTt5uA59szXWOkPSa9zHvi7BO1YksGD4WBP7NtMAGHV9OdRl/eDcZMWXyCqxObk
Q9PFaqyNbFX2WPnSH0p1exCwc1I1oJv1CC4MjaJq93dQvAiezamMjwrEKaVkKApYJPAIJt05MaZ4
lftPLknbvt19JqS26nrQbyCfEQcyP/Sa95p12H+m+qWeY7obtUNvnoiPpzKMI8tmJB0j91hL99GQ
T4MTxuWEaL1vs5pGRs+l3lLK51j3tHUx0N4TkFPae9zIJMkBjtGEgEzFpdvLEQGJhHN5wK/WMEM2
QfeGPah8qbt5IPnW6ddD3k2/iw6dYZASNNNk1vA1qDILSfjWd46TsjvMbgQ83cN7+s4YEp+h/3SL
XNz7lnRPeh07MYCfK/eQk9lLCQYd5oYMHhCD805qnfiQTMP7nMROZMok0YQdzUhH8vLNfo2RVoSw
dzyweXIwFikpWQL6L36k/xPSfP6BPUbfS2fqqHFKjccSknhreHF3BZtsjnqRypOuec0j+x7zMYPZ
uBrgnu5rmVlPPq94rQU1d0sq1EE32upUDjZ+Mw2ritfE3HGzNm6iyfAPUD7gFpKIbNSqVX0pyjQO
uWuwiWGCO2j0gV3MwouOZKK1xwBvLwWOGqvX2AS872hCLx1hr0Bx06X0F5g9nvT0kRA370VvdPTt
Jbhliih0G7szNM44l++jNQd3KD3rZxYdnh+/jeUPH0HWm5ZbjloxGqdXe+icJydIxUNg6dN9q4Lq
zlBI4wcbPrYpA3Ga7JcBzhvDTbML5m58iLDoPGs2vO2qSCbz3SEJYDvWFUcZGtP7ZvB6egVn7zxx
YX4IJ/H2sux9AubG8QcKg+LW56q7OdR6XsFW0oNMJhQ5TrDk6CViJRZpExkXGJyY61euVeEeHGb8
f5FprEs7lXhL4monlwUbJzp0uogjAshyYCEDA8OrhRlmPXI8faRObt5VY29h/fSME+kJOIuJASHe
LrmV48co+nWa4Hseuny6YhHjJq3kNDy2fDMnI9m0k9yVpVFs+nr+iQMLmbRqe7Koo+Ep0txnv5iv
bp29u8nii5EHQe60DQDIsU8UjDue6iQNcVK5oeNBzeh+vLGBLR388ziu3pRWH4YppevYsL/cnMvM
TD9tco9x+q7hFbYdufA08SkuBtsZUdv7gXvnx7a+K6LmdTTLJ7OwD4h67nK7RzI0r1HH8YpxO2R3
pt68GEYXhJXWvhH0KFZTnDBRSvdpsIfnSDOu1QQ/hj54lYjsPI3aIfYnMgPj4VAZtb1xNDPfy2LJ
Op3N6wQlhRgzX5dpEQa1QIKuWvJ8GcqhyFe9aW+HptsWrQZBE7b9K5b3FQKAUyB8Ijn8bZwXv6ui
ff7PYIf1HbX2T7DDt10H0JGABZdeDNLRgr+BLrhamJjgGvZu/sqan5zmsR+vI2Q0JXP5dNRdZCpj
Gc/3nE/iQSWu82RQtnZtotpFOeUWw5tPcMQP7/tRyZanZlqeH2d5ksTyTGXL04Xmvz4Z30/c8uyV
c5w9KqsAQCl5NPvlGfWXp5VQ+fmYL09w9P0wj7HVHvs8045xxLM+LU+9vzz/dITGoZRzfZFBG+xU
rzAsR9RdH9IomzaFge6GqEdziyImJkCHU4b+YnWII04eHTUVEh9lPUHgcC4ZLfN5LET3qKdl+6iX
rTyhdCUSZW66azyzjQXLSWdGDmfecvq5yznoLCeiFpfGL3M5JZupSw6iwv5W1SLEgsJh2i/nqoYN
NJTfh22fB2o/Zb74KCrmjEqfggc7zYJQWGb2gt+ChUEpjm9dKPdUT0rc20Fp/IwCbQwl4iurSrnk
vy+Bss+MnVpuhna5I6LltiiXeyNNgum3vtwlzXKrgOeUL6DnpIZ+Xzp8muUhdrmJMDzIn/5yO7XL
PUUooDiMY3kulztMLLcZUTfPSZTgsvXndv4CJDz5XhA0uKON9kU1Un/zp74jpTzJzdfJ8QC1ZG9O
74oSbJ4aC2tZFQNAZXw3QxRN5WqWDHBmQhs0MSd3XpsXd0KIJDQrU9xVyMmxK9fbiqVt72oiIL+m
8aJPWzrUnEPSzCw3hEJsSR/yILS7759oNez5nvRbj3ta8wq+TIUQ67Ys81tZpO6nX5vmSaYcEjsX
BWm9QuHMpECMZqFWNJNlPyy9uh+snBy+SjedeisIR6katoU1VFsG4CWpdEBXAKrmVGMIrfIg2Db3
SrPfmwIop9cHNomZuXLm64sYC0HsNIaBFj2laf2Ud0KGmkqbDc5MiSe+oCaAhf0XS8yr5qNFsPog
CNvKfiaLgglIM61Qx9bKCYudE3N2/uArVzv7yZiFXPT02+tZ8uRBrqzcrk2PwnWfEiN9InhAnCCf
s33hMWb3Uj/GltGFRLKOOC3GgaGno3OVhtSPhLSuvW8kv6dJywh2mAVTcdaHpjGdG+aPlZL854ov
Bmbr4c3pjfJYEKC6LdzRJu+1NHf1lDcbY0BP2872wplRYQVNvyIIyNkCpgKr6IiFe/2eudBc6e6I
U8FQz1U5vpBlXjwqrWIdg8/e2X0/+PQ7ZhRQeJXY5P/F3pntxo1t2fZXEufhPhUF9uRG4RRQjD7U
hUKS1bwQoY593/Pr76BsZVpOpzNPyvfiFFB+ynTDCDEYe++11pxjRnD362HA2CEpykoLzXyJyIIh
pd5Wy1blu5bZ9DVd6C+O5A2W4/XVfZe21mZQIvwJY3pvKDEnCAMQUWzBbk2EBsNnjBseq6BykM/1
s1KZUDY5MCCoUeh6SSqf1aGBkdMTCUeLXKac36GYJvIRciZFMSW/b7vZp8xl5EKoI0vPVA9Uor3i
3xkbTzOQXGiqpl9XtpkeQ0txN2ou5MkBEZxmrvWkECtwFanSyFPAgiIl0D/a+CXUTMbVJrBiJYD9
JHlATzKmtpnJvYuF/0QYhOHEJH07UVElc04FwKSG4GEY1NsuvgPWc0q0DE8E0cRDau1GJVPnaAle
zGrcD0pmchRuiBCNa0JaJdtSiSIOvLOqVNu5FrI4IiKOAdXYbFbQJiEWqPI1OWcV1avy2GeytjCK
8NoiEw63nlhIiCKpjHMskp7in3iWdjxYKE8gZHhOX7JJZEjI5zSkz1rXUF0ALFmxDmrihn1V8tde
5423oT0VmZ42LMeeNEanr0jxmIV1O96jeUggdUG6t5pYmmG/Us+tOswPoT9oG08y5WO/E+EmrvXq
3M2seteSkLlj9NU/uKw/x4rKiLWfTlTtdLaC5tacadN5q3s9eU1nMFWqrQ2OfGnuvp7OWHH1a3s6
spXT4a3hjr9uvP/fJlTv5lir52xCElb/E0wn0zxKsxip/PEYa354Kg+/4Dj55ezgHcpf1of2OQ5+
N9V6vcrnqZalHanTjAo7r6UjGNSYUX1xn6hHDHMZrzLsAv+qThz0FL2x/89/qPKRphHTZRuagV9F
ZRj2Zj+Rj5A+m7Ksy8zEXqdh39hNfmg/YVz02wlrQiJjO6ECFDLvBLH6NyesMKzVXnNjd9EBMQrD
fmXqPsYLdY7cYfXVffrO7Er5VkBl0jUSE0h2Qngzm/vmtTzm7hl5Ge4C/uuytdr9gI62iqxlCvx2
FMVdIhuzursRaPms8dxLRnnma7c4gR016I/7OF/iUFv/ybv6xqHF2+Bdaerk0uI/kCG8H6i5eZAJ
YiDcRe4PzJ2LDf4bEsZVa6ngXx5B1FhSMjNLeMDEfEOcmA9YHjjM5StUVLqafzZz/aEhCCbHN58J
78hWNZt4A7Z58btYgoTNRRKy5y6qsfGRfusbOLn6Hh24e977PqnlhhSf53HbIIwzR/Ki6JzUo0FL
I2r1iXN5L5WpgYZUibHJ2e6xrgcbgAVMzxuM12l3b/WP8ZDOWzyrZpaemnSfos7pgVsMqUEEG1AM
Uj61ik4wkdpMGGh+jvOCgoocjlO5kObALZa5ns7DGM83xJ3GD7amtO/UbD+6yVwFtqAXRAjZw9R1
mXeNoDBSt56Js7PITipTXYN8YCR5Cwtvg1hrNrYPUnpsso46nH23+eDEqr6OxKe2aW/aJsrRyRBl
lffWRq8/uV1D7ju0pzZbaWU9TyoMFrV3QVs3sMKz2DZmoPRnmAwWCRU4UkLSjfAnufE0vbxM2nSr
adayR0xpwvDkHFIvi9AelhIcEDrnc5W2CTHCU3rIaYuCDfRwDxKIvR03eLfIs3apFRkArhuULVuM
8zMsQRslNuDuAhkK2iWoA/DR2RoV7cyLK24PLyP0eV50+6w0IH9i2ZS0dVObiTN27dwysGdwBFOK
B986R4J/gqzXCQKbjhudaVlsc51vZmsv5BD8X3AZddlaKs8gay1hMRxawmB1/QFV/X1VPQKaA2ta
QCgV5xXkejHsgpIDvNLOEttaQlyZeS4Kf1kY+SU95nvPSqRTMJv63CKOReIov1dxNtRoshpHrV26
bYmePXpa4QZOnnPTcEiHdMHS+LmC6nGhjl52EFpgcbgwpi+Ni1Bacf2N1emXltKo12aktugyvOau
a6dMS8bZ1AgWPCDIqt6nJI/SGUJtF/tOOjJPjfBJOS6ku0ubLvxSMStrXpfgTpy0A9jKuzD7g1EO
8To1EjrafdF6p36bByfYQ8+NsjIvyrG19rWaFMv/3STTmhCBqyEHIHx4YmY2DyrQAI/1N9sbj78G
Ff2PN8nTZw/08GE4fP8fflF7qEeWIbM1whaGA4ly9W1ftMURqx9WTeWLx5I/edsXzSM2LIDAhEqa
gBPEVxujcSQTsqZAGkL1QXqh9a8IPhj/v1+GbZmgXDYFGVC6zsUmB+jXet/G9Wvot5a5LkWpe2u1
mIwQNmezclKj+U99FMcMpIFGbFjJkcUqg+0tzE4JxyUARO26CENIrLVpRvMcfGWPx0SC7G90dV+s
EsnXrkVlaehKOxmoj4S7XjNSU5tZKIoZn+p6KNbUiDZJW4Nd5CeylEEFIe5rZhie78GlwuhcGRa4
SPJL6hlTZ+lKKA0aqMZqbglGip00tMVCkeNoVqT2XiY7isJKPhuGrHXQWxZksVVt+VhArAMUoVWY
yvhhvRM5rESNhUYZTwxsIvEc3Tan5iYmr2GMk7XVlAxg1ADbk2H3c88YNcZZA4BfnTZAKg09sNx4
MC86XxNXdibsVadEHX3mWMzCIWkdjc4khJgkd+JGgBrxzZnasp1+QiHdNXQj+9xiKpntFSHlrIBE
sSWLjCORfKKqbkAvPe3aiwKBI0ilNNPRWAY1PX3XbpkM9l1MV1ykiCXmleJOJD5JSzEzZhzbl54y
YCaPkY8pFyjVxHBeehRCFwoESdrXcuGW6yicfFF+bivjppFr+A1u2wkANKGrtIumgaWy1Fo/vm1j
lKMXNrpgdYmVg3zF2AeCPmOsGg0OpsG2Wbpm1a6sWvaf5Cz3rFmSJ2KVlo3yySB8sYR173lTgNaL
YIDTSF2xU1NbPcnKIY8g90lrib35FvBPT+Hq7shvQDJfdDXktT4Rp1rZzZOhCC6UIJKXpoyKMyMI
i6muAX+p0tPqSUtaa51R0gSrgPGFMo8zGdG5mdtXBmp+ZtL0oweUqbV9GSvScNKRtzIDjohioapj
bBcDWYAaKzX4HX9FcES2la0UVFglvIUc2NumHCa+izJeubDLlm2RGVvQFBoeKGkFnI3Rt93Moqyq
Lgc9BEjCan4ueYq77KLOw+9KhIsDzXRgpJL5FjYegBzeKpO6+MRAHwZOVithzMbJSVnoDF6AJwVX
PK3NMWUfvDVZzYbOGUDKbwYv6nInc5s5emBqytxrNl7bRefCRqZV89m6iIhcJnye2jN/Gbq+J9pP
6uBslBNwKWF0jjvoohiyFQOseFEItBQgKoIncDjdorSt/DJpvGplYenivofDygxBW1qihkcqjc1p
Xg/PWdOggsoHNaGOdus1efHh0iwtKboFvGFedhmdgJniR9Z9PtRUsXJi6psJtbXsMRDNAzXXFqak
NgujLZqlXGCPg5XcMRM3AHQgNEZZT5tZZ6C+joW0ldGnssIk/alpyM2tK1dMhCsv3nlCK7ZVHqZb
xrGCaVhB16pr3fozwOh/a8c/2RYtXSFzkPKODY3/UDk8/miHPDk8AS74env87gU+75Q2xSDAAcoB
sm2nshAZ7q8VpKERC8QRE1YUNJxfN0rNOpKRS9LsQqTFFjbJKb9UkJpKbWnZiIE0Fllya/+ljdKe
NJZf1ZCSOtW10HheDTNfyZH1uEbFE9X+Ou6sZJK5g4PEmOCJmZ0nAHM0kUIyk1J71aCQ3Mr437cs
4D74fbMOz7p8MiymNmTfudXHmP8kPNuVsIdPeZgIjNAodnJkIUkUOxBYxT5hFH5hRbLek/2U0EbS
LEz6BS52jziovFUomYjW4VA+5Zs8MIqX8k1Ln+gUQ662BbnTHVp3SB9yPyIKCyFzvsqStOT0bdD9
o5ao6HWRe2jeswrhtdIy0Q+rQa5RqKlx3BabKpNcaVI06OghcgXffWibwQV7leHNwrEsWE05rTbk
jZOY0rRkpMDxulOHKNn1vTJIs75VoxbW+BjH0FIRwHFW9uW7IoThCgBNAtUkotra92lAO9pApf4Y
GlK/FWECK67xvL0xZdVP9qBLXEfNjeyWxo7jRLK3kshcSbUu1nqcj6vJLA8M07Tck5ZBC0NvsmQ0
D0GCauIFWVI/knHlqY3/SEwsn6MUV7TdY9VsEclH3XicS6b20rltf8nUdnwG+sLGTeVb3I1qpJ+L
ZggVIIohwS4JnMhrS59Ylg211M6nnXg20FHoHNHntMUb8OmrKMZi74QsxdeE+EifCg5SnP07S77G
k03InzARSy0CzBQ72/TVh1DpilU5gmRWVHjwTi971S5JTTxg0L8Ta5HkrgAkEdUnYYp52Ck0ahwL
ky0RKUwkSidS0vo+AQyAQkZvqmcvcfsro8065kN6DQMX67Q9sxhXn2aIetgRsjSO57XQ1VVUhJU4
Z4IJYLQeQsAbhiDVkiF1nAWgd8D6Oey7mb5AwCJpS2DH1jMhL64+B8FAtg3rbT4uTFKKFKbKCSjf
2ijzezw4/q08NYjNBCrgeWL0RgtqKBkqbkacdCjhrAaPllv2zSxAwcP9a3FJzoAupTjbjcHfG4pf
AFirTO82qTT3JQhzeNhlrCJtdM16zRyhUR5pE8jYkEtTaYGTuiOPVG/UGaNszYd8EavKSSP81HXc
OLY3ftdVjwgX+4VUQg2cy0HC/1dqJZ0oUsAsp20aca9n4xjuar81Oab2UKnDbkiugUnqT7Cqgrve
Q9ThlOBLclyGwOcVUBDLUJYifTYJKje5b5ET7odEJDpEw5iAGdMitmdyFtVEIAmvWQ5CZnrsj4P9
LNrSpOytBChWKzaAlfS1dQHwqNq0ZluBEE2a/pKkzOpBlEZ1E4JjP2NWPi6NpqqzOfZPhiN5KdoL
RGXVDXNwwymNDojCiGugjUGzLHo7ZB4dtG5LMLeoadhn/pSmCZVyISWZFzhj2OZotaroOFUiw1+Y
oYk4OQREwCHfQz4E+H5EJp1i646xiTLxNloD0LhlLswqax/FiIuXUwvSi1k9jPVpHMXD3hSjby8z
N8tdtElDv5oUcisIyfLGyqMOCxQf410povEJYq1nYvuSh1P2eem0QW58KtArYqMm3XXfJXlw2bYS
s524NZWN3JnjWq/cch/YHd45XHTYsIkHm3tZk95Op6xFO3b+snJdAjsalpyZlnjjEjltDCND5Ehm
ahmx36jb4T1epew8jEtjURXeBKfq+03jluNTA6rang1kdSmrKMo0yzHbgc+eno2PfLvz8js6fxFY
V0/ttuAINUjTvVWC0JXraz4dMLDy4CnnGvCNSWFSDFvJ6LvK6exKE6vMxlzpBlID+hwbT86zGmYP
mBVhqugND2EhNwzsvK4I75G95rdG0aH+LYqSPBC10WtjqWOQhdEVhfTwags73wqpb/6pCpUw2qt2
lkDEHzQWHU8GUaBJ9KqO/XCAMcC5SxlRddRSjxlwgHivxp2mo52BL3+eF3l5igaTjkiXiiFCvq2K
s7Kw4ofe9/wXXyqzeV7JwZWnlhWH55iShxDzyF6FhRv6M3g11gI1CeEdXmoFaz2VkU9LGQIivS16
PLKDG2+brkX2arRxAjA4qwHahipjS8XDKd3abr/rCE4gBI4x2aolJWKj1Jx9mSXE+gxdqdGj/dTC
E61UMJKqWa2tZUh0kBPPS4w0HtqMCnoK6NjxZAghlTVJQh9QLnSZwtFMQgboUboAT3vc9QC7nDBu
+Fc4GouLPLOqGy0GkoJPS9Yg5NUGlWIkI2fJ8MvOPfTUW742RnaTUESEgHuqtWXiysHMCf1Nie9g
MYhjumCcH5AsMdlKRbz1tUktBbsC1GhQuYbssOykrEOAYUtlr9n9hapkUE7kdnyK2Q3YqIP6Kk5j
+5gZ8mQuRVpG7VPvU7dpX3Q2nxVsX9znwjxYZYecvhHgfTqN6r6uqmutN7S1HRnksvhxTEqMDZG9
CASaEYT8YtcoQJGQozT9BEDOtzBbE5ATQYOeS6FdpQUBLmZ8RP0JMmDoJV4mz0XrRqexwUI+qbiL
HCcD8qwZegcJtpmpwLb2McCuqnAQIRqrItqMAWUvfd+YmItOO7HtOjweRaAfN35DQy/Im+qWYaWY
V0ZqPxJ3Ca7RxCt4riexvccwbK3DuiZsUM9d14HRoT4hEFBhvSnpRRHiGCiIIdAXSeTpa9mo82s5
lYlDbfj4M/QftwkFSeJ0KumQTmB6sqNYoXWWEirxqAS1QTCS6DJ64nV+X5eCTmtd1FeFStMRZH6+
M+mKnKYAiSjbo5DpnVER+0IcE5YZmbEmAfNazZlLte4xQYTDLJtIm6YOsNahdvGeXb/wzxNX0k4w
alrJLIZnDVU+rxU2UGqqu1YfrIUFce9S0jVUVYXsencW0jDw0kHb30smkD8iScqAoXjYf8pFaK58
0mdQpJvaFj9u9ML7LXcQhIcHMTZQIcd8IPUA6xcggLa06ysxdEnhhBU0+7nmBRACTWMYLmwA1kuL
JvKnEf/R0irS5CDoFtONrChYnbpyu9pxyzqFZVto3oqPqjtRPK9mdQjc8iIoNbPg+GJGIayFmJVK
zfo6XuSNXwbgfKQmWzUkFEFlKadEE1v0ZrwkKkY5q/Jcv1GtjiGkWuH8XAZt0ioMMm2PcBy1tI8D
zxoT1FR9Vc/pV5Q+OQ7yqM3Ao9DQdoeuvOvqoAyB6JF2NwvG2D0FBICNw8DZuOEJEeMsU4P6AKyQ
TQ3Ts7KH/M39r+xG7xzEW81a7ZP4k677xT4vYij8JfXQPhx0MW+V1ptJGJiOg8qwiU1q5OcANTrE
d6NK1QX7bsoCqKIVcyK7NC6RIgQ+IYQcCZyurPx04QUjojNFooTZ0YFraRC0hr62YjXL5iA4cjos
TIBpxbBVtCTOVuh3+RQ8b9YDT12ZSm3v41jNi/koOnt0MhHrL2EiCWOe0vK5FoY0HAJbkp9sO24a
FKojOzmxfTVStR7ehFM0Ba6oOAxz5J61P4nmvRcVtNi+Hhl3DyJXgiVnTPJcdDtAx5+VFw2BmPMS
j/OJkjJWXw6c2kIUw4pKvA1dIVtuItsxzco9iK5Q93LKEWPBqVdIszIRRrzo6WZPMiFQ+egzRs5o
oBExA09RK7RTlpKb9ovS0via6OzLSJz7RlkUoZwdNNCrKsnuXrzAw0HjJ1f7XSbH+TBL86xD2JCX
Lsz7slRnblL4Oxe/8UaLbBRQiENLKF+gN6iA1ALVt9ZBmrW4pHdNGiDvSSm1/FPeWXY1LxihvGSY
x/elFtOrieUII7ZbNHMpJO7Uano+5LKHEMNYhgAJAEkzl8Er8lWvlOce2tFFM2KZYfIWGY4he/nB
j6XyOCKjgQM+6RTQsBTxMuiWO6xcKbH6UyUMpKtWarkK2SQoGDCJUpJRc07ImsbdZjzTj0MsODSP
SGf27NwIUTWEPMcoIVL4RjIDJNRD2kqWKmSsBdmjFnvIwivJjjZVH0B8GlrjRg/90JGwqS1EJgF7
H6qGFNta3+oMY285B0w4VJESyh5oEl+amFCBzh0ZLeGeRoaC9LsPo2af6Q3+0QT4Y4X8Ap1fWsjB
hQURcqHkCB0dg7CuYzlROU4Zkbsg9ueBc6pYyXwnF1lTwxYQwrsHfVo/DKjk0EMwTJl7gxrde1Vm
XcAvxrdMdRBuuwxDzygl5MOBVbjqe3c3kP9wR+fXv4AIwvdS7eGyuabRb+2i7dZ6HnvHpplH3Hcz
2No+6g2yOwNjlUWyelOUo8UaFWTmdEJPSGKS5QA3gq7Tz6q9kNMsqScPBkvMOuBYiqCsD6tTbEro
a1qN4rhsGe+pEmlPyFLGeIN2kUM0FJrsKiPLeskRzgRd2+uX+phpG7RA0i4jzmbRkfE6OF5otleF
lHvgaTFEbohptxdW3/pXfPUAzZrqyNLmNjnLowcBoWpamPtxKidnKaD7reb65o5+sokYzLYHYvFM
OTo1JI14lcAneIbRlu24GPjPy7jwwFjIJCb7MlxvMvIG5EtNWF8OahxcM89rdziNjUe+u8pO8Uvx
XFR+tUSC5OIcUgdfwjCmKzeYATnVK1G4MQozxBgm170jt/Qykpr1KmgaFaqpnaAHSRt/3qRJQr+6
QASPgA4FjplDkNH7Yynmh40sLuK4UkqTvvYylKbAZW5KtjqfV4NPQdrBxFuhOeuqCMhrvwGzOzQ5
Pn9CB0wMYSF2H03tTzNELlNGZ9cYM93y0yuFmIqlqbfhLtPVF4tikF0ZvHs17xupPhn03vo0bZ+L
Norg48LQ6z5BM2aI6o1FZi9xxNVPcPCH2X9QnMe5S+bUWhuYE9Zx2fdz2QxR2I+Db5wDE0obkJCh
XP2/aTX+DxKgfNZj2Iqq6oqB/lNRUYT88Zjt+1qUX/4bccr8kBzSV5kKT9X7NuMk+fjmJX4TqqgW
PO0JPy9b/J1f24zykW0phgwr9TPzlBbg20BOPsKIrJBzPXU9J33Lr31GNCyyDlFfKPw40yXtf2Ug
p2h0LL/qM3JvbDzgKg813hPVwBbwfiBHudSF6OB1iInXzZCdiitlSXq1NuOUh6eRkPIA32q1165T
UiyIhQyvqyJg0H3jYpMM6NvZrQ46NbnnRI8nZO0ngC2lJfilVcuhAufyxrcfhp7uDd5Ppwlumu6e
o9BCoodHSvyllkuciodzzS+XmrTN7Zeyn8VrF921euY9+Zg0U+OE4ELG06dZiZ/SfKFZhRIRG5/E
LNzcGCFUOCErZyyP86GTZrE/rJLpKGjS6umJzqa84etTLkOl9qaT8VmPHJe0DjPtHmSRXle1fJFM
UkiOerZjaOgPKwvXbfpYx+cmVG9aRVFN4QTTk9WTfBWEE4gk1Z2CHdqLx42mlcspaFTSk20kQ/o2
kxOtZ4LC8fK8akrqA6+cN5JEj0PeQXV0+jxkU9SyZ6PR01la6HcyQx0+pkWL0DlDXR+63VKvouWg
D7OyxvtFOmgcVadaUO9qUzujOfIYWeauz3iv3TCgLlZUZizDdSaNSzUBVs7A0wlpWzu+SfVh0gZC
9RzsvARjeQHidTpqnRWIKcL+TyLbqdO+fbb4UoCUB9dMTjysgG+eLdC5VR9kKPj7Mbkua3Bdul7t
+tZYs5IuyBAo5rFlbusoXcX5OUiUlaHox3ViN/NBBiSSVC27K/nIk2EgkuRl0OBoDCMEha6209qM
eY5xqekG7J6QQ5QWHBfpsdzoqzJPj5VhCYccPN+U6DJeGLG/ti2GTIo4q/kIib990TFvGNGdxG12
WcWDMll6uFURNQL/ruFqTZPJ6sQWKFeguXmltM5HeVca5bLV9N0gixNT9057vIwC11ri11dhTvi2
YjJQ2urKvUkHkkCabWFi/8voO0mZVzgWQWqO4KmMBuRDbXBip6dWgcPLpVRL7IekHtZxLKOTxM3N
gYcgtGY8GXvUw7Z7GHJjmaU0k7kgCuSp9FMGSH/UMKp3FqZXalmekim7rpTuKu3vx9Doj3MCfWZh
qlh3hauBFGDEKpF67ecKEzYekc4kZdcUazq9T3LPe2yJZ/UG3JCc9Iy54Dx4XHRMBczx/qvV9TsK
NnXCnXyrltMsBtOI9ZDbfDvxGDPZjsoudRdmFj17UnPjcvvcUrkvqLPGtgS5VO4LNzobm/bcq0oa
o/1ZEJDPG1XFEvIRSFERzsMq35SjOMd7zdpV7ytbpHgKo13oty+5kf7J082I6Jv3jaKMHiZGCtS9
Ygqbf79yVhRpTEdQBxVWiaVK1QDa8oYJfOubEWs4oiU39unIsC7mAP0kmItOgWkSFVxPY6XwaQda
El38sgBOnVsWzyyuAepElAAh+jwzPhuC9pKFdaXF/S4Im0tSa69HGMRJqT55Rn+Z6ByENbueY6ym
Pg6Y6pQm9ITetlkaW/UF7yjjiLqWgL5QQYdjDs8y7/Z+2+46uznOTRc/i5ki8CFd3DTFfWGNigNE
6Ir4+HPw+DC5jPwllUJ/YWj5VVdLL+R3YMANzBcATZeVGd4m9P5K8mqXhvKS0xHyUSqIlHfgFZuy
0p3RpjvrG5+6BEm3TXFulQ+dL20GIKFZ0i0qBdd5N5Nbf0b9cpPiCOiAwhHgtEiM+hQE3w7+f4h5
Qp0jvlhLhGQ5ftPchGV9XcC1olNzO0bFtRf05wRtjPN2KlokGAFhMSs8eW0U6aXhd2sZsmxah4+u
nF/Gfr1tVG1OocLsyGAWbu+8VN5kebfrdPiRsX2ZKCr1CumjjSwWArQ2AY9Lz5eXfPQn5NYuOkI6
zT64oQ29pje4wC4wM+glZyc1QbDVYCxrERNIFjhKdRuOl9DT8Pzbc785Fnm0CVP3BkUVKC6KHGYT
ypKie2VHZMhONT1UqReMlrO+NncNkM+iDO+KBAGbqMIU43pMNJcGP5Oufw28wbrIPA2bflEQeMYw
RuQtcN0QKYoO2lZ9Cexk40riRqdr6krZk+1hh4VqjjjAPUn5GlJwZbu6iNbqyHAhYxzfmfvIC491
dejmoN+cYjQG4IwK/76ei6xZgjibu16VsjPdhmq31vp+nTQoHCPGFPBPkmssLrdeZZz0pfYpJp3U
McxbYyyu+qSpFzzVm8K1XkZVO3Yb31xgGUNcoHjk7plA4fACzBGSxAtDH08AaDmFScYoOSQrq5QP
Or70hdqV+0wbDlGBygDQ7y09VeAm8Kpm2GJ2pV5ft6O9bfEXoPug/R5tImDCpqWQV6n0yGTCK6Uy
bxu1OZbx3SX9COouxU0fa2up6+e9LO8S05vDLv6U1J1jlwQb62JvNqS0RXcj5T0+vJlw/bOqDS60
BAgeTzuj0JcxIHSSO9b34rIfNIBo2H1rUIBKsXdJ5YzsFzHK9z0TPFQTS6URjyF6xCAhcsYzjL0r
nhOKRkssdAl0ylmunAHJSJs9qoldKSXIR3Jsf3tyiRzw79dJX81wYs8y2KXonhyM6RAYnqNgAD5L
/VPdWuKqo5kc9DqumxdmhXNFvWu8S8sDS2mXGC0uiGwnPRJBZaPyuEinobwHFDVNjk5kFyzwMGE3
hnWArALqsaEnC+y92N9JqzHPle4R8eMssbTbuqE3M/C9jtRbKBxJ382s+EL2GvSHkX9TuOSuorSf
e8FDB20+aV7ID0PHIx56TYuXoiVNNzfXQemto0DBEhsiyBI+pV0m5gMwVcYp3ZyBr1OLDBsYHVbS
3UU1t73kUwCpYNGrg/4klRi2bXCoTFHsZZeNx0aZXvleYc3HULkSkXSXDcMNeb9XYx9CJCGJrs2Z
GWuYfDa0GElBi20gKSZFV9ulj1kzruzRWjM7moaN5UyGrsu5ioGZXuDDlXGvyLqTwHesCQJplHJj
di62IjLdR9N6SNp2CyD9GR/VlUiZUhShug7DAcRLxdGEQHmS7afwblVy52FL/50hWK7QFx/1kyzX
XsgenYXKyqvNra4Di8nKU7Q5rL7whwsDJVq9At+q4pfXvGWpE8yodwY8HUbDc4al0qzSRb3AYzc4
/+GPVLpWwzEtN8QuUnEAcQK7CuTkthw9ZDsZHEKvcvear2y5N0TDkEzsqLk7OJll1Uh0mwY0js2L
YJZ+PR38BOXLB4hdX159fqgPi1d15kXzXA77Z5R29a86/+lPd1mQ1lfZ3/tLbwaC71/ol+evdKE8
MGk9vQMcpenXheXrmfpdrfr6ll7f74+uEB8QnTZPSE5VdCkECuj6dO6Ks9T78vuWOEJTQ+mnCvn1
12fO2Fe35o9++B//XJ/v4o//zrt3/ieaWJ1j1V+5Ad9c5qsbYB+ZHN4oRbB3TL+o/r++D9YR6DH4
d4aC/pVf/3b3AV+KSdX+oZugENZC+ovMGfv9T28f6VRoKHw/C6v+nT5+E/TqR39s/chSZB59Ohzf
++zNIwUMIp6QSfvML4743OZ/o5ugK3iOP3oTxJFOLY3q+ss3/ZsvADdBtiezzud7MIm//71uAg8u
niw+pI/eCOsIqOEkY//mSyCOqDsJSjS+3AL++K/egb/wrPy6o5A0HD+97iXBc/W9LeeP/sLbavr7
P/+ykm6e/vmPaat49xcnbeXn1/5tq/mvd8vk65P+1R++Pfmvr/Pln3/5AX//0u9e6+2nevvNdfBc
HspHzF2vu9yXtzlZFv/5DzqpPm6/XXl4eq78d7sdXrG3//+uMvTXNfCH16+q90TMSUv58csCdTiU
b5eZbjiUWnq5v92+39k7/tK7XR/K4ZC+93Rohs2X/sNXDpLDI46R795pXdbYWD/6EttDkjS//J9D
kv/nL8cH0gaCd3eIhXVaUj/6KseHMuUwFr2/SZ+3hw9fm+c0/ubC+iQF/uiFTw5R5R+euufn/O1i
r9/SSTb89ht//xk/PTz5w/e/Q5Ms+eMvcP4U8PbfrjO9c5Uu10/4MHfNU/PoP5fl8O7i5Pgpb7/x
92/LrknDw8PbdV7fNQz2n/Cu94fwgCTh8O5wPo11fsK1L4MoCt4hfGmFTuexjz6CV4ckiHFUP72b
VX05Tn704tdTTOD3lhb4uZOr66PXv3mu6l+c59Q7xG8Xe110TU7rb7/x9x+U0wOLOQtWXb57xr8c
tz763lcwIstD/fY2p/dt8Riq2k/YL1bZu3c8XRfU+9tL/f07wq7863TzLHjMHvh0N1WMJ796u/jn
n0PBcv8Tnvr/Lpv0j7cnpCsg7H/CY/RjQPZXJfi7g9FXB80fnTSuSlSB758g3rdsMbd9u2d//wP5
/hz67brTZ/H6WsyO337v77/WRF2YPuq3K325+mRJ/QkHkdNDOt2n71z8J9ymP3PFfvAjnj/HfvD7
dz51JT66SvyhmoDPlTuv/4T9cDaluAYQNd4fsz9f/yc8N4SeH+o6qH73CjAWbJXOwsfv0us+8+M4
2g9+xFu2gj+Mu/0J9cjVM18t79sz/m817Uefo7/qevvgbfr+evR3dDE/fCPfqzd/bcn8vgp9azd+
75+9L7Gnv/EYPx/K//q/AAAA//8=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7.emf"/><Relationship Id="rId5" Type="http://schemas.openxmlformats.org/officeDocument/2006/relationships/image" Target="../media/image5.jpeg"/><Relationship Id="rId10" Type="http://schemas.openxmlformats.org/officeDocument/2006/relationships/chart" Target="../charts/chart3.xml"/><Relationship Id="rId4" Type="http://schemas.openxmlformats.org/officeDocument/2006/relationships/image" Target="../media/image4.png"/><Relationship Id="rId9" Type="http://schemas.microsoft.com/office/2014/relationships/chartEx" Target="../charts/chartEx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38100</xdr:rowOff>
    </xdr:from>
    <xdr:to>
      <xdr:col>18</xdr:col>
      <xdr:colOff>99060</xdr:colOff>
      <xdr:row>3</xdr:row>
      <xdr:rowOff>114300</xdr:rowOff>
    </xdr:to>
    <xdr:sp macro="" textlink="">
      <xdr:nvSpPr>
        <xdr:cNvPr id="2" name="Rectangle: Rounded Corners 1">
          <a:extLst>
            <a:ext uri="{FF2B5EF4-FFF2-40B4-BE49-F238E27FC236}">
              <a16:creationId xmlns:a16="http://schemas.microsoft.com/office/drawing/2014/main" id="{EFC045E3-D3DA-12C9-C324-A602CADBECC2}"/>
            </a:ext>
          </a:extLst>
        </xdr:cNvPr>
        <xdr:cNvSpPr/>
      </xdr:nvSpPr>
      <xdr:spPr>
        <a:xfrm>
          <a:off x="76200" y="38100"/>
          <a:ext cx="10995660" cy="624840"/>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latin typeface="Algerian" panose="04020705040A02060702" pitchFamily="82" charset="0"/>
            </a:rPr>
            <a:t>amazon</a:t>
          </a:r>
        </a:p>
      </xdr:txBody>
    </xdr:sp>
    <xdr:clientData/>
  </xdr:twoCellAnchor>
  <xdr:twoCellAnchor>
    <xdr:from>
      <xdr:col>0</xdr:col>
      <xdr:colOff>60960</xdr:colOff>
      <xdr:row>4</xdr:row>
      <xdr:rowOff>7620</xdr:rowOff>
    </xdr:from>
    <xdr:to>
      <xdr:col>1</xdr:col>
      <xdr:colOff>381000</xdr:colOff>
      <xdr:row>28</xdr:row>
      <xdr:rowOff>129540</xdr:rowOff>
    </xdr:to>
    <xdr:sp macro="" textlink="">
      <xdr:nvSpPr>
        <xdr:cNvPr id="3" name="Rectangle: Rounded Corners 2">
          <a:extLst>
            <a:ext uri="{FF2B5EF4-FFF2-40B4-BE49-F238E27FC236}">
              <a16:creationId xmlns:a16="http://schemas.microsoft.com/office/drawing/2014/main" id="{B5496B6B-A9EF-A148-A5C3-49CAC9EF424A}"/>
            </a:ext>
          </a:extLst>
        </xdr:cNvPr>
        <xdr:cNvSpPr/>
      </xdr:nvSpPr>
      <xdr:spPr>
        <a:xfrm>
          <a:off x="60960" y="739140"/>
          <a:ext cx="929640" cy="4511040"/>
        </a:xfrm>
        <a:prstGeom prst="roundRect">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solidFill>
          </a:endParaRPr>
        </a:p>
      </xdr:txBody>
    </xdr:sp>
    <xdr:clientData/>
  </xdr:twoCellAnchor>
  <xdr:twoCellAnchor>
    <xdr:from>
      <xdr:col>7</xdr:col>
      <xdr:colOff>373380</xdr:colOff>
      <xdr:row>16</xdr:row>
      <xdr:rowOff>171450</xdr:rowOff>
    </xdr:from>
    <xdr:to>
      <xdr:col>12</xdr:col>
      <xdr:colOff>411480</xdr:colOff>
      <xdr:row>24</xdr:row>
      <xdr:rowOff>19050</xdr:rowOff>
    </xdr:to>
    <xdr:sp macro="" textlink="">
      <xdr:nvSpPr>
        <xdr:cNvPr id="9" name="Rectangle: Rounded Corners 8">
          <a:extLst>
            <a:ext uri="{FF2B5EF4-FFF2-40B4-BE49-F238E27FC236}">
              <a16:creationId xmlns:a16="http://schemas.microsoft.com/office/drawing/2014/main" id="{D77AC5CF-898A-6C57-82BA-D65885AC8B73}"/>
            </a:ext>
          </a:extLst>
        </xdr:cNvPr>
        <xdr:cNvSpPr/>
      </xdr:nvSpPr>
      <xdr:spPr>
        <a:xfrm>
          <a:off x="4652303" y="3185955"/>
          <a:ext cx="3094474" cy="1321359"/>
        </a:xfrm>
        <a:prstGeom prst="roundRect">
          <a:avLst/>
        </a:prstGeom>
        <a:solidFill>
          <a:srgbClr val="FFF0F3"/>
        </a:solidFill>
        <a:ln>
          <a:solidFill>
            <a:srgbClr val="FF4D6D"/>
          </a:solidFill>
        </a:ln>
        <a:effectLst>
          <a:outerShdw blurRad="50800" dist="12700" dir="5400000" algn="ctr" rotWithShape="0">
            <a:srgbClr val="000000">
              <a:alpha val="16000"/>
            </a:srgb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13</xdr:col>
      <xdr:colOff>325755</xdr:colOff>
      <xdr:row>16</xdr:row>
      <xdr:rowOff>171450</xdr:rowOff>
    </xdr:from>
    <xdr:to>
      <xdr:col>18</xdr:col>
      <xdr:colOff>306705</xdr:colOff>
      <xdr:row>24</xdr:row>
      <xdr:rowOff>19050</xdr:rowOff>
    </xdr:to>
    <xdr:sp macro="" textlink="">
      <xdr:nvSpPr>
        <xdr:cNvPr id="10" name="Rectangle: Rounded Corners 9">
          <a:extLst>
            <a:ext uri="{FF2B5EF4-FFF2-40B4-BE49-F238E27FC236}">
              <a16:creationId xmlns:a16="http://schemas.microsoft.com/office/drawing/2014/main" id="{89F0226C-2CF9-19F9-B6D8-4F7FAE0C54A9}"/>
            </a:ext>
          </a:extLst>
        </xdr:cNvPr>
        <xdr:cNvSpPr/>
      </xdr:nvSpPr>
      <xdr:spPr>
        <a:xfrm>
          <a:off x="8250555" y="3166110"/>
          <a:ext cx="3028950" cy="1310640"/>
        </a:xfrm>
        <a:prstGeom prst="roundRect">
          <a:avLst/>
        </a:prstGeom>
        <a:solidFill>
          <a:srgbClr val="EAF5FF"/>
        </a:solidFill>
        <a:ln>
          <a:solidFill>
            <a:srgbClr val="00B0F0"/>
          </a:solidFill>
        </a:ln>
        <a:effectLst>
          <a:outerShdw blurRad="50800" dist="12700" dir="5400000" algn="ctr" rotWithShape="0">
            <a:srgbClr val="000000">
              <a:alpha val="16000"/>
            </a:srgb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5</xdr:col>
      <xdr:colOff>312419</xdr:colOff>
      <xdr:row>0</xdr:row>
      <xdr:rowOff>137160</xdr:rowOff>
    </xdr:from>
    <xdr:to>
      <xdr:col>12</xdr:col>
      <xdr:colOff>562840</xdr:colOff>
      <xdr:row>3</xdr:row>
      <xdr:rowOff>60960</xdr:rowOff>
    </xdr:to>
    <xdr:sp macro="" textlink="">
      <xdr:nvSpPr>
        <xdr:cNvPr id="21" name="Rectangle 20">
          <a:extLst>
            <a:ext uri="{FF2B5EF4-FFF2-40B4-BE49-F238E27FC236}">
              <a16:creationId xmlns:a16="http://schemas.microsoft.com/office/drawing/2014/main" id="{ACA439A9-FEBF-F191-A4E9-9554A2E1A159}"/>
            </a:ext>
          </a:extLst>
        </xdr:cNvPr>
        <xdr:cNvSpPr/>
      </xdr:nvSpPr>
      <xdr:spPr>
        <a:xfrm>
          <a:off x="3343101" y="137160"/>
          <a:ext cx="4493375" cy="46932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bg1"/>
              </a:solidFill>
              <a:latin typeface="Arial Rounded MT Bold" panose="020F0704030504030204" pitchFamily="34" charset="0"/>
            </a:rPr>
            <a:t>Amazon </a:t>
          </a:r>
          <a:r>
            <a:rPr lang="en-IN" sz="2400">
              <a:solidFill>
                <a:schemeClr val="accent2"/>
              </a:solidFill>
              <a:latin typeface="Arial Rounded MT Bold" panose="020F0704030504030204" pitchFamily="34" charset="0"/>
            </a:rPr>
            <a:t>Sales Dashboard</a:t>
          </a:r>
        </a:p>
      </xdr:txBody>
    </xdr:sp>
    <xdr:clientData/>
  </xdr:twoCellAnchor>
  <xdr:twoCellAnchor editAs="oneCell">
    <xdr:from>
      <xdr:col>17</xdr:col>
      <xdr:colOff>68580</xdr:colOff>
      <xdr:row>0</xdr:row>
      <xdr:rowOff>68580</xdr:rowOff>
    </xdr:from>
    <xdr:to>
      <xdr:col>18</xdr:col>
      <xdr:colOff>22860</xdr:colOff>
      <xdr:row>3</xdr:row>
      <xdr:rowOff>83820</xdr:rowOff>
    </xdr:to>
    <xdr:pic>
      <xdr:nvPicPr>
        <xdr:cNvPr id="24" name="Picture 23">
          <a:extLst>
            <a:ext uri="{FF2B5EF4-FFF2-40B4-BE49-F238E27FC236}">
              <a16:creationId xmlns:a16="http://schemas.microsoft.com/office/drawing/2014/main" id="{54119196-B289-E775-92E9-35979154B167}"/>
            </a:ext>
          </a:extLst>
        </xdr:cNvPr>
        <xdr:cNvPicPr>
          <a:picLocks noChangeAspect="1"/>
        </xdr:cNvPicPr>
      </xdr:nvPicPr>
      <xdr:blipFill>
        <a:blip xmlns:r="http://schemas.openxmlformats.org/officeDocument/2006/relationships" r:embed="rId1"/>
        <a:stretch>
          <a:fillRect/>
        </a:stretch>
      </xdr:blipFill>
      <xdr:spPr>
        <a:xfrm>
          <a:off x="10431780" y="68580"/>
          <a:ext cx="563880" cy="563880"/>
        </a:xfrm>
        <a:prstGeom prst="rect">
          <a:avLst/>
        </a:prstGeom>
      </xdr:spPr>
    </xdr:pic>
    <xdr:clientData/>
  </xdr:twoCellAnchor>
  <xdr:twoCellAnchor editAs="oneCell">
    <xdr:from>
      <xdr:col>16</xdr:col>
      <xdr:colOff>53340</xdr:colOff>
      <xdr:row>19</xdr:row>
      <xdr:rowOff>160020</xdr:rowOff>
    </xdr:from>
    <xdr:to>
      <xdr:col>19</xdr:col>
      <xdr:colOff>190500</xdr:colOff>
      <xdr:row>30</xdr:row>
      <xdr:rowOff>114300</xdr:rowOff>
    </xdr:to>
    <xdr:sp macro="" textlink="">
      <xdr:nvSpPr>
        <xdr:cNvPr id="1029" name="AutoShape 5" descr="See related image detail. shopping cart 3d carton style isolated on transparent background ...">
          <a:extLst>
            <a:ext uri="{FF2B5EF4-FFF2-40B4-BE49-F238E27FC236}">
              <a16:creationId xmlns:a16="http://schemas.microsoft.com/office/drawing/2014/main" id="{AA0FA8D7-27A4-6AB1-D3EA-122F8E744FFC}"/>
            </a:ext>
          </a:extLst>
        </xdr:cNvPr>
        <xdr:cNvSpPr>
          <a:spLocks noChangeAspect="1" noChangeArrowheads="1"/>
        </xdr:cNvSpPr>
      </xdr:nvSpPr>
      <xdr:spPr bwMode="auto">
        <a:xfrm>
          <a:off x="9806940" y="3703320"/>
          <a:ext cx="1965960" cy="19659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xdr:row>
      <xdr:rowOff>0</xdr:rowOff>
    </xdr:from>
    <xdr:to>
      <xdr:col>7</xdr:col>
      <xdr:colOff>304800</xdr:colOff>
      <xdr:row>9</xdr:row>
      <xdr:rowOff>121920</xdr:rowOff>
    </xdr:to>
    <xdr:sp macro="" textlink="">
      <xdr:nvSpPr>
        <xdr:cNvPr id="1032" name="AutoShape 8">
          <a:extLst>
            <a:ext uri="{FF2B5EF4-FFF2-40B4-BE49-F238E27FC236}">
              <a16:creationId xmlns:a16="http://schemas.microsoft.com/office/drawing/2014/main" id="{F44BF7C7-ED79-06FC-7B5F-6ADF75B1686D}"/>
            </a:ext>
          </a:extLst>
        </xdr:cNvPr>
        <xdr:cNvSpPr>
          <a:spLocks noChangeAspect="1" noChangeArrowheads="1"/>
        </xdr:cNvSpPr>
      </xdr:nvSpPr>
      <xdr:spPr bwMode="auto">
        <a:xfrm>
          <a:off x="4267200" y="1531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20</xdr:row>
      <xdr:rowOff>0</xdr:rowOff>
    </xdr:from>
    <xdr:to>
      <xdr:col>16</xdr:col>
      <xdr:colOff>304800</xdr:colOff>
      <xdr:row>21</xdr:row>
      <xdr:rowOff>121920</xdr:rowOff>
    </xdr:to>
    <xdr:sp macro="" textlink="">
      <xdr:nvSpPr>
        <xdr:cNvPr id="1033" name="AutoShape 9">
          <a:extLst>
            <a:ext uri="{FF2B5EF4-FFF2-40B4-BE49-F238E27FC236}">
              <a16:creationId xmlns:a16="http://schemas.microsoft.com/office/drawing/2014/main" id="{E3F800E4-10D4-AEA3-DACA-720096B4EF70}"/>
            </a:ext>
          </a:extLst>
        </xdr:cNvPr>
        <xdr:cNvSpPr>
          <a:spLocks noChangeAspect="1" noChangeArrowheads="1"/>
        </xdr:cNvSpPr>
      </xdr:nvSpPr>
      <xdr:spPr bwMode="auto">
        <a:xfrm>
          <a:off x="9753600" y="37261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26</xdr:row>
      <xdr:rowOff>0</xdr:rowOff>
    </xdr:from>
    <xdr:to>
      <xdr:col>16</xdr:col>
      <xdr:colOff>304800</xdr:colOff>
      <xdr:row>27</xdr:row>
      <xdr:rowOff>121920</xdr:rowOff>
    </xdr:to>
    <xdr:sp macro="" textlink="">
      <xdr:nvSpPr>
        <xdr:cNvPr id="1034" name="AutoShape 10">
          <a:extLst>
            <a:ext uri="{FF2B5EF4-FFF2-40B4-BE49-F238E27FC236}">
              <a16:creationId xmlns:a16="http://schemas.microsoft.com/office/drawing/2014/main" id="{D1A64891-B8D0-6081-33FC-BF85F2EBD2D6}"/>
            </a:ext>
          </a:extLst>
        </xdr:cNvPr>
        <xdr:cNvSpPr>
          <a:spLocks noChangeAspect="1" noChangeArrowheads="1"/>
        </xdr:cNvSpPr>
      </xdr:nvSpPr>
      <xdr:spPr bwMode="auto">
        <a:xfrm>
          <a:off x="9753600" y="48234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17</xdr:row>
      <xdr:rowOff>0</xdr:rowOff>
    </xdr:from>
    <xdr:to>
      <xdr:col>16</xdr:col>
      <xdr:colOff>304800</xdr:colOff>
      <xdr:row>18</xdr:row>
      <xdr:rowOff>121920</xdr:rowOff>
    </xdr:to>
    <xdr:sp macro="" textlink="">
      <xdr:nvSpPr>
        <xdr:cNvPr id="1040" name="AutoShape 16" descr="3d Star Purple PNG Transparent Images Free Download | Vector Files | Pngtree">
          <a:extLst>
            <a:ext uri="{FF2B5EF4-FFF2-40B4-BE49-F238E27FC236}">
              <a16:creationId xmlns:a16="http://schemas.microsoft.com/office/drawing/2014/main" id="{D07E4439-E286-9711-6C94-DE2CF09BD40B}"/>
            </a:ext>
          </a:extLst>
        </xdr:cNvPr>
        <xdr:cNvSpPr>
          <a:spLocks noChangeAspect="1" noChangeArrowheads="1"/>
        </xdr:cNvSpPr>
      </xdr:nvSpPr>
      <xdr:spPr bwMode="auto">
        <a:xfrm>
          <a:off x="9753600" y="31775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0</xdr:colOff>
      <xdr:row>19</xdr:row>
      <xdr:rowOff>0</xdr:rowOff>
    </xdr:from>
    <xdr:to>
      <xdr:col>17</xdr:col>
      <xdr:colOff>304800</xdr:colOff>
      <xdr:row>20</xdr:row>
      <xdr:rowOff>121920</xdr:rowOff>
    </xdr:to>
    <xdr:sp macro="" textlink="">
      <xdr:nvSpPr>
        <xdr:cNvPr id="1041" name="AutoShape 17" descr="3d Star Purple PNG Transparent Images Free Download | Vector Files | Pngtree">
          <a:extLst>
            <a:ext uri="{FF2B5EF4-FFF2-40B4-BE49-F238E27FC236}">
              <a16:creationId xmlns:a16="http://schemas.microsoft.com/office/drawing/2014/main" id="{BBB1D1D9-D445-B468-8C3A-17FA7667A63B}"/>
            </a:ext>
          </a:extLst>
        </xdr:cNvPr>
        <xdr:cNvSpPr>
          <a:spLocks noChangeAspect="1" noChangeArrowheads="1"/>
        </xdr:cNvSpPr>
      </xdr:nvSpPr>
      <xdr:spPr bwMode="auto">
        <a:xfrm>
          <a:off x="10363200" y="354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14</xdr:col>
      <xdr:colOff>603697</xdr:colOff>
      <xdr:row>4</xdr:row>
      <xdr:rowOff>48420</xdr:rowOff>
    </xdr:from>
    <xdr:to>
      <xdr:col>18</xdr:col>
      <xdr:colOff>41952</xdr:colOff>
      <xdr:row>7</xdr:row>
      <xdr:rowOff>2700</xdr:rowOff>
    </xdr:to>
    <xdr:sp macro="" textlink="">
      <xdr:nvSpPr>
        <xdr:cNvPr id="25" name="Rectangle: Rounded Corners 24">
          <a:extLst>
            <a:ext uri="{FF2B5EF4-FFF2-40B4-BE49-F238E27FC236}">
              <a16:creationId xmlns:a16="http://schemas.microsoft.com/office/drawing/2014/main" id="{47A183F1-91B8-89CF-4BD4-6D8AD10E90F7}"/>
            </a:ext>
          </a:extLst>
        </xdr:cNvPr>
        <xdr:cNvSpPr/>
      </xdr:nvSpPr>
      <xdr:spPr>
        <a:xfrm>
          <a:off x="9161543" y="785299"/>
          <a:ext cx="1883354" cy="506939"/>
        </a:xfrm>
        <a:prstGeom prst="roundRect">
          <a:avLst/>
        </a:prstGeom>
        <a:gradFill>
          <a:gsLst>
            <a:gs pos="83000">
              <a:srgbClr val="FFFFFF"/>
            </a:gs>
            <a:gs pos="75000">
              <a:srgbClr val="FFB6C5"/>
            </a:gs>
            <a:gs pos="50000">
              <a:srgbClr val="FB7185"/>
            </a:gs>
            <a:gs pos="0">
              <a:srgbClr val="F43F5E"/>
            </a:gs>
            <a:gs pos="100000">
              <a:schemeClr val="accent1">
                <a:lumMod val="30000"/>
                <a:lumOff val="70000"/>
              </a:schemeClr>
            </a:gs>
          </a:gsLst>
          <a:lin ang="5400000" scaled="1"/>
        </a:gradFill>
        <a:ln w="3175">
          <a:solidFill>
            <a:srgbClr val="FF6885"/>
          </a:solidFill>
        </a:ln>
        <a:effectLst>
          <a:outerShdw blurRad="101600" dist="381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261937</xdr:colOff>
      <xdr:row>4</xdr:row>
      <xdr:rowOff>81915</xdr:rowOff>
    </xdr:from>
    <xdr:to>
      <xdr:col>11</xdr:col>
      <xdr:colOff>311467</xdr:colOff>
      <xdr:row>7</xdr:row>
      <xdr:rowOff>36195</xdr:rowOff>
    </xdr:to>
    <xdr:sp macro="" textlink="">
      <xdr:nvSpPr>
        <xdr:cNvPr id="26" name="Rectangle: Rounded Corners 25">
          <a:extLst>
            <a:ext uri="{FF2B5EF4-FFF2-40B4-BE49-F238E27FC236}">
              <a16:creationId xmlns:a16="http://schemas.microsoft.com/office/drawing/2014/main" id="{49A44911-786A-1504-310C-D2C41C500EDB}"/>
            </a:ext>
          </a:extLst>
        </xdr:cNvPr>
        <xdr:cNvSpPr/>
      </xdr:nvSpPr>
      <xdr:spPr>
        <a:xfrm>
          <a:off x="5152135" y="818794"/>
          <a:ext cx="1883354" cy="506939"/>
        </a:xfrm>
        <a:prstGeom prst="roundRect">
          <a:avLst/>
        </a:prstGeom>
        <a:gradFill>
          <a:gsLst>
            <a:gs pos="83000">
              <a:srgbClr val="FFFFFF"/>
            </a:gs>
            <a:gs pos="75000">
              <a:srgbClr val="FFE19A"/>
            </a:gs>
            <a:gs pos="50000">
              <a:srgbClr val="FCD34D"/>
            </a:gs>
            <a:gs pos="0">
              <a:srgbClr val="F59E0B"/>
            </a:gs>
            <a:gs pos="100000">
              <a:schemeClr val="accent1">
                <a:lumMod val="30000"/>
                <a:lumOff val="70000"/>
              </a:schemeClr>
            </a:gs>
          </a:gsLst>
          <a:lin ang="5400000" scaled="1"/>
        </a:gradFill>
        <a:ln w="3175">
          <a:solidFill>
            <a:srgbClr val="F5C04A"/>
          </a:solidFill>
        </a:ln>
        <a:effectLst>
          <a:outerShdw blurRad="101600" dist="381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452913</xdr:colOff>
      <xdr:row>4</xdr:row>
      <xdr:rowOff>81915</xdr:rowOff>
    </xdr:from>
    <xdr:to>
      <xdr:col>14</xdr:col>
      <xdr:colOff>502443</xdr:colOff>
      <xdr:row>7</xdr:row>
      <xdr:rowOff>36195</xdr:rowOff>
    </xdr:to>
    <xdr:sp macro="" textlink="">
      <xdr:nvSpPr>
        <xdr:cNvPr id="27" name="Rectangle: Rounded Corners 26">
          <a:extLst>
            <a:ext uri="{FF2B5EF4-FFF2-40B4-BE49-F238E27FC236}">
              <a16:creationId xmlns:a16="http://schemas.microsoft.com/office/drawing/2014/main" id="{B5FE7C2C-D04D-34FD-FEE8-EDA43CE46D68}"/>
            </a:ext>
          </a:extLst>
        </xdr:cNvPr>
        <xdr:cNvSpPr/>
      </xdr:nvSpPr>
      <xdr:spPr>
        <a:xfrm>
          <a:off x="7176935" y="818794"/>
          <a:ext cx="1883354" cy="506939"/>
        </a:xfrm>
        <a:prstGeom prst="roundRect">
          <a:avLst/>
        </a:prstGeom>
        <a:gradFill>
          <a:gsLst>
            <a:gs pos="83000">
              <a:srgbClr val="FFFFFF"/>
            </a:gs>
            <a:gs pos="75000">
              <a:srgbClr val="DDB8F5"/>
            </a:gs>
            <a:gs pos="50000">
              <a:srgbClr val="C4B5FD"/>
            </a:gs>
            <a:gs pos="0">
              <a:srgbClr val="8B5CF6"/>
            </a:gs>
            <a:gs pos="100000">
              <a:schemeClr val="accent1">
                <a:lumMod val="30000"/>
                <a:lumOff val="70000"/>
              </a:schemeClr>
            </a:gs>
          </a:gsLst>
          <a:lin ang="5400000" scaled="1"/>
        </a:gradFill>
        <a:ln w="3175">
          <a:solidFill>
            <a:srgbClr val="B76BE8"/>
          </a:solidFill>
        </a:ln>
        <a:effectLst>
          <a:outerShdw blurRad="101600" dist="381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70961</xdr:colOff>
      <xdr:row>4</xdr:row>
      <xdr:rowOff>81915</xdr:rowOff>
    </xdr:from>
    <xdr:to>
      <xdr:col>8</xdr:col>
      <xdr:colOff>120491</xdr:colOff>
      <xdr:row>7</xdr:row>
      <xdr:rowOff>36195</xdr:rowOff>
    </xdr:to>
    <xdr:sp macro="" textlink="">
      <xdr:nvSpPr>
        <xdr:cNvPr id="28" name="Rectangle: Rounded Corners 27">
          <a:extLst>
            <a:ext uri="{FF2B5EF4-FFF2-40B4-BE49-F238E27FC236}">
              <a16:creationId xmlns:a16="http://schemas.microsoft.com/office/drawing/2014/main" id="{C64FAEA9-1817-163F-CD3E-8EA105153D69}"/>
            </a:ext>
          </a:extLst>
        </xdr:cNvPr>
        <xdr:cNvSpPr/>
      </xdr:nvSpPr>
      <xdr:spPr>
        <a:xfrm>
          <a:off x="3127335" y="818794"/>
          <a:ext cx="1883354" cy="506939"/>
        </a:xfrm>
        <a:prstGeom prst="roundRect">
          <a:avLst/>
        </a:prstGeom>
        <a:gradFill>
          <a:gsLst>
            <a:gs pos="83000">
              <a:srgbClr val="FFFFFF"/>
            </a:gs>
            <a:gs pos="75000">
              <a:srgbClr val="B7F0C8"/>
            </a:gs>
            <a:gs pos="50000">
              <a:srgbClr val="86EFAC"/>
            </a:gs>
            <a:gs pos="0">
              <a:srgbClr val="22C55E"/>
            </a:gs>
            <a:gs pos="100000">
              <a:schemeClr val="accent1">
                <a:lumMod val="30000"/>
                <a:lumOff val="70000"/>
              </a:schemeClr>
            </a:gs>
          </a:gsLst>
          <a:lin ang="5400000" scaled="1"/>
        </a:gradFill>
        <a:ln w="3175">
          <a:solidFill>
            <a:srgbClr val="62D98A"/>
          </a:solidFill>
        </a:ln>
        <a:effectLst>
          <a:outerShdw blurRad="101600" dist="381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489585</xdr:colOff>
      <xdr:row>4</xdr:row>
      <xdr:rowOff>81915</xdr:rowOff>
    </xdr:from>
    <xdr:to>
      <xdr:col>4</xdr:col>
      <xdr:colOff>539115</xdr:colOff>
      <xdr:row>7</xdr:row>
      <xdr:rowOff>36195</xdr:rowOff>
    </xdr:to>
    <xdr:sp macro="" textlink="">
      <xdr:nvSpPr>
        <xdr:cNvPr id="29" name="Rectangle: Rounded Corners 28">
          <a:extLst>
            <a:ext uri="{FF2B5EF4-FFF2-40B4-BE49-F238E27FC236}">
              <a16:creationId xmlns:a16="http://schemas.microsoft.com/office/drawing/2014/main" id="{C9627EA6-D4F5-7126-1A99-0572CE9972D5}"/>
            </a:ext>
          </a:extLst>
        </xdr:cNvPr>
        <xdr:cNvSpPr/>
      </xdr:nvSpPr>
      <xdr:spPr>
        <a:xfrm>
          <a:off x="1100860" y="818794"/>
          <a:ext cx="1883354" cy="506939"/>
        </a:xfrm>
        <a:prstGeom prst="roundRect">
          <a:avLst/>
        </a:prstGeom>
        <a:gradFill>
          <a:gsLst>
            <a:gs pos="83000">
              <a:srgbClr val="FFFFFF"/>
            </a:gs>
            <a:gs pos="75000">
              <a:srgbClr val="DCEEFF"/>
            </a:gs>
            <a:gs pos="50000">
              <a:srgbClr val="7DB9F8"/>
            </a:gs>
            <a:gs pos="0">
              <a:srgbClr val="4C9BFA"/>
            </a:gs>
            <a:gs pos="100000">
              <a:schemeClr val="accent1">
                <a:lumMod val="30000"/>
                <a:lumOff val="70000"/>
              </a:schemeClr>
            </a:gs>
          </a:gsLst>
          <a:lin ang="5400000" scaled="1"/>
        </a:gradFill>
        <a:ln w="3175">
          <a:solidFill>
            <a:srgbClr val="7DBFF0"/>
          </a:solidFill>
        </a:ln>
        <a:effectLst>
          <a:outerShdw blurRad="101600" dist="381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114298</xdr:colOff>
      <xdr:row>4</xdr:row>
      <xdr:rowOff>106680</xdr:rowOff>
    </xdr:from>
    <xdr:to>
      <xdr:col>5</xdr:col>
      <xdr:colOff>403860</xdr:colOff>
      <xdr:row>6</xdr:row>
      <xdr:rowOff>179198</xdr:rowOff>
    </xdr:to>
    <xdr:pic>
      <xdr:nvPicPr>
        <xdr:cNvPr id="32" name="Picture 31" descr="The Most Valuable Tip for eCommerce Website Management: Optimizing ...">
          <a:extLst>
            <a:ext uri="{FF2B5EF4-FFF2-40B4-BE49-F238E27FC236}">
              <a16:creationId xmlns:a16="http://schemas.microsoft.com/office/drawing/2014/main" id="{B096B00E-3212-DF27-5EF9-BA44110A7C7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3162298" y="838200"/>
          <a:ext cx="289562" cy="4382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541021</xdr:colOff>
      <xdr:row>4</xdr:row>
      <xdr:rowOff>175261</xdr:rowOff>
    </xdr:from>
    <xdr:to>
      <xdr:col>2</xdr:col>
      <xdr:colOff>226301</xdr:colOff>
      <xdr:row>6</xdr:row>
      <xdr:rowOff>129541</xdr:rowOff>
    </xdr:to>
    <xdr:pic>
      <xdr:nvPicPr>
        <xdr:cNvPr id="34" name="Picture 33">
          <a:extLst>
            <a:ext uri="{FF2B5EF4-FFF2-40B4-BE49-F238E27FC236}">
              <a16:creationId xmlns:a16="http://schemas.microsoft.com/office/drawing/2014/main" id="{32C59CBA-DCB3-3BFC-F2FC-4B6B56CE76A1}"/>
            </a:ext>
          </a:extLst>
        </xdr:cNvPr>
        <xdr:cNvPicPr>
          <a:picLocks noChangeAspect="1"/>
        </xdr:cNvPicPr>
      </xdr:nvPicPr>
      <xdr:blipFill>
        <a:blip xmlns:r="http://schemas.openxmlformats.org/officeDocument/2006/relationships" r:embed="rId3"/>
        <a:stretch>
          <a:fillRect/>
        </a:stretch>
      </xdr:blipFill>
      <xdr:spPr>
        <a:xfrm>
          <a:off x="1150621" y="906781"/>
          <a:ext cx="294880" cy="320040"/>
        </a:xfrm>
        <a:prstGeom prst="rect">
          <a:avLst/>
        </a:prstGeom>
      </xdr:spPr>
    </xdr:pic>
    <xdr:clientData/>
  </xdr:twoCellAnchor>
  <xdr:twoCellAnchor editAs="oneCell">
    <xdr:from>
      <xdr:col>8</xdr:col>
      <xdr:colOff>312420</xdr:colOff>
      <xdr:row>4</xdr:row>
      <xdr:rowOff>114300</xdr:rowOff>
    </xdr:from>
    <xdr:to>
      <xdr:col>8</xdr:col>
      <xdr:colOff>594360</xdr:colOff>
      <xdr:row>6</xdr:row>
      <xdr:rowOff>167640</xdr:rowOff>
    </xdr:to>
    <xdr:pic>
      <xdr:nvPicPr>
        <xdr:cNvPr id="35" name="Picture 34" descr="Sterling Studios design agency - Branding | Websites | Packaging">
          <a:extLst>
            <a:ext uri="{FF2B5EF4-FFF2-40B4-BE49-F238E27FC236}">
              <a16:creationId xmlns:a16="http://schemas.microsoft.com/office/drawing/2014/main" id="{9926E3F9-15DF-E9AC-7B4D-5A402D7FC6C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189220" y="845820"/>
          <a:ext cx="28194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495300</xdr:colOff>
      <xdr:row>5</xdr:row>
      <xdr:rowOff>0</xdr:rowOff>
    </xdr:from>
    <xdr:to>
      <xdr:col>12</xdr:col>
      <xdr:colOff>175260</xdr:colOff>
      <xdr:row>6</xdr:row>
      <xdr:rowOff>137160</xdr:rowOff>
    </xdr:to>
    <xdr:pic>
      <xdr:nvPicPr>
        <xdr:cNvPr id="38" name="img-7Z7Taq-wLN2y2roP1I63-Qo_7cc8wl_2" descr="Star badge 3d Images - Free Download on Magnific (formerly ...">
          <a:extLst>
            <a:ext uri="{FF2B5EF4-FFF2-40B4-BE49-F238E27FC236}">
              <a16:creationId xmlns:a16="http://schemas.microsoft.com/office/drawing/2014/main" id="{1A347758-D3E1-E707-5FE7-A0EFC91CFB5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200900" y="914400"/>
          <a:ext cx="289560" cy="320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30480</xdr:colOff>
      <xdr:row>4</xdr:row>
      <xdr:rowOff>45720</xdr:rowOff>
    </xdr:from>
    <xdr:to>
      <xdr:col>15</xdr:col>
      <xdr:colOff>533400</xdr:colOff>
      <xdr:row>7</xdr:row>
      <xdr:rowOff>0</xdr:rowOff>
    </xdr:to>
    <xdr:pic>
      <xdr:nvPicPr>
        <xdr:cNvPr id="39" name="Picture 38" descr="Red Delivery Truck Icon Cartoon Style Transportation Vehicle isolated on a transparent  background 68083789 PNG">
          <a:extLst>
            <a:ext uri="{FF2B5EF4-FFF2-40B4-BE49-F238E27FC236}">
              <a16:creationId xmlns:a16="http://schemas.microsoft.com/office/drawing/2014/main" id="{07CEADA8-2E52-563E-6207-EA30B2E0D40A}"/>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174480" y="777240"/>
          <a:ext cx="50292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493395</xdr:colOff>
      <xdr:row>8</xdr:row>
      <xdr:rowOff>133350</xdr:rowOff>
    </xdr:from>
    <xdr:to>
      <xdr:col>6</xdr:col>
      <xdr:colOff>474345</xdr:colOff>
      <xdr:row>15</xdr:row>
      <xdr:rowOff>163830</xdr:rowOff>
    </xdr:to>
    <xdr:sp macro="" textlink="">
      <xdr:nvSpPr>
        <xdr:cNvPr id="30" name="Rectangle: Rounded Corners 29">
          <a:extLst>
            <a:ext uri="{FF2B5EF4-FFF2-40B4-BE49-F238E27FC236}">
              <a16:creationId xmlns:a16="http://schemas.microsoft.com/office/drawing/2014/main" id="{83EA0ECE-47FD-15DE-3A3B-C5D82D5FA14D}"/>
            </a:ext>
          </a:extLst>
        </xdr:cNvPr>
        <xdr:cNvSpPr/>
      </xdr:nvSpPr>
      <xdr:spPr>
        <a:xfrm>
          <a:off x="1104670" y="1674097"/>
          <a:ext cx="3037323" cy="1320019"/>
        </a:xfrm>
        <a:prstGeom prst="roundRect">
          <a:avLst/>
        </a:prstGeom>
        <a:solidFill>
          <a:srgbClr val="EAF5FF"/>
        </a:solidFill>
        <a:ln>
          <a:solidFill>
            <a:srgbClr val="00B0F0"/>
          </a:solidFill>
        </a:ln>
        <a:effectLst>
          <a:outerShdw blurRad="50800" dist="12700" dir="5400000" algn="ctr" rotWithShape="0">
            <a:srgbClr val="000000">
              <a:alpha val="16000"/>
            </a:srgb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7</xdr:col>
      <xdr:colOff>362903</xdr:colOff>
      <xdr:row>8</xdr:row>
      <xdr:rowOff>125730</xdr:rowOff>
    </xdr:from>
    <xdr:to>
      <xdr:col>12</xdr:col>
      <xdr:colOff>343853</xdr:colOff>
      <xdr:row>15</xdr:row>
      <xdr:rowOff>156210</xdr:rowOff>
    </xdr:to>
    <xdr:sp macro="" textlink="">
      <xdr:nvSpPr>
        <xdr:cNvPr id="31" name="Rectangle: Rounded Corners 30">
          <a:extLst>
            <a:ext uri="{FF2B5EF4-FFF2-40B4-BE49-F238E27FC236}">
              <a16:creationId xmlns:a16="http://schemas.microsoft.com/office/drawing/2014/main" id="{BB005AED-0567-2421-F29C-2159B1B0C9C6}"/>
            </a:ext>
          </a:extLst>
        </xdr:cNvPr>
        <xdr:cNvSpPr/>
      </xdr:nvSpPr>
      <xdr:spPr>
        <a:xfrm>
          <a:off x="4630103" y="1657350"/>
          <a:ext cx="3028950" cy="1310640"/>
        </a:xfrm>
        <a:prstGeom prst="roundRect">
          <a:avLst/>
        </a:prstGeom>
        <a:solidFill>
          <a:srgbClr val="E8FFF0"/>
        </a:solidFill>
        <a:ln>
          <a:solidFill>
            <a:srgbClr val="00B050"/>
          </a:solidFill>
        </a:ln>
        <a:effectLst>
          <a:outerShdw blurRad="50800" dist="12700" dir="5400000" algn="ctr" rotWithShape="0">
            <a:srgbClr val="000000">
              <a:alpha val="16000"/>
            </a:srgb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13</xdr:col>
      <xdr:colOff>255270</xdr:colOff>
      <xdr:row>8</xdr:row>
      <xdr:rowOff>125730</xdr:rowOff>
    </xdr:from>
    <xdr:to>
      <xdr:col>18</xdr:col>
      <xdr:colOff>236220</xdr:colOff>
      <xdr:row>15</xdr:row>
      <xdr:rowOff>156210</xdr:rowOff>
    </xdr:to>
    <xdr:sp macro="" textlink="">
      <xdr:nvSpPr>
        <xdr:cNvPr id="33" name="Rectangle: Rounded Corners 32">
          <a:extLst>
            <a:ext uri="{FF2B5EF4-FFF2-40B4-BE49-F238E27FC236}">
              <a16:creationId xmlns:a16="http://schemas.microsoft.com/office/drawing/2014/main" id="{7014132F-51DC-B8AE-0B7B-EA128E812574}"/>
            </a:ext>
          </a:extLst>
        </xdr:cNvPr>
        <xdr:cNvSpPr/>
      </xdr:nvSpPr>
      <xdr:spPr>
        <a:xfrm>
          <a:off x="8180070" y="1657350"/>
          <a:ext cx="3028950" cy="1310640"/>
        </a:xfrm>
        <a:prstGeom prst="roundRect">
          <a:avLst/>
        </a:prstGeom>
        <a:solidFill>
          <a:srgbClr val="FFF8E5"/>
        </a:solidFill>
        <a:ln>
          <a:solidFill>
            <a:srgbClr val="F4B183"/>
          </a:solidFill>
        </a:ln>
        <a:effectLst>
          <a:outerShdw blurRad="50800" dist="12700" dir="5400000" algn="ctr" rotWithShape="0">
            <a:srgbClr val="000000">
              <a:alpha val="16000"/>
            </a:srgb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xdr:col>
      <xdr:colOff>478155</xdr:colOff>
      <xdr:row>16</xdr:row>
      <xdr:rowOff>171450</xdr:rowOff>
    </xdr:from>
    <xdr:to>
      <xdr:col>6</xdr:col>
      <xdr:colOff>459105</xdr:colOff>
      <xdr:row>24</xdr:row>
      <xdr:rowOff>19050</xdr:rowOff>
    </xdr:to>
    <xdr:sp macro="" textlink="">
      <xdr:nvSpPr>
        <xdr:cNvPr id="36" name="Rectangle: Rounded Corners 35">
          <a:extLst>
            <a:ext uri="{FF2B5EF4-FFF2-40B4-BE49-F238E27FC236}">
              <a16:creationId xmlns:a16="http://schemas.microsoft.com/office/drawing/2014/main" id="{2C7DCC5F-C1B1-906E-6140-F99D95C970B0}"/>
            </a:ext>
          </a:extLst>
        </xdr:cNvPr>
        <xdr:cNvSpPr/>
      </xdr:nvSpPr>
      <xdr:spPr>
        <a:xfrm>
          <a:off x="1087755" y="3166110"/>
          <a:ext cx="3028950" cy="1310640"/>
        </a:xfrm>
        <a:prstGeom prst="roundRect">
          <a:avLst/>
        </a:prstGeom>
        <a:solidFill>
          <a:srgbClr val="F7EDFF"/>
        </a:solidFill>
        <a:ln>
          <a:solidFill>
            <a:srgbClr val="8E44AD"/>
          </a:solidFill>
        </a:ln>
        <a:effectLst>
          <a:outerShdw blurRad="50800" dist="12700" dir="5400000" algn="ctr" rotWithShape="0">
            <a:srgbClr val="000000">
              <a:alpha val="16000"/>
            </a:srgb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2</xdr:col>
      <xdr:colOff>358140</xdr:colOff>
      <xdr:row>3</xdr:row>
      <xdr:rowOff>160020</xdr:rowOff>
    </xdr:from>
    <xdr:to>
      <xdr:col>4</xdr:col>
      <xdr:colOff>152400</xdr:colOff>
      <xdr:row>6</xdr:row>
      <xdr:rowOff>83820</xdr:rowOff>
    </xdr:to>
    <xdr:sp macro="" textlink="Sheet1!B5">
      <xdr:nvSpPr>
        <xdr:cNvPr id="49" name="Rectangle 48">
          <a:extLst>
            <a:ext uri="{FF2B5EF4-FFF2-40B4-BE49-F238E27FC236}">
              <a16:creationId xmlns:a16="http://schemas.microsoft.com/office/drawing/2014/main" id="{C96DC328-FA25-4C4D-88EF-8D3876DE27D6}"/>
            </a:ext>
          </a:extLst>
        </xdr:cNvPr>
        <xdr:cNvSpPr/>
      </xdr:nvSpPr>
      <xdr:spPr>
        <a:xfrm>
          <a:off x="1577340" y="708660"/>
          <a:ext cx="1013460" cy="472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E505ECA-A189-4EB9-A223-22D61B1DDDBD}" type="TxLink">
            <a:rPr lang="en-US" sz="1800" b="1" i="0" u="none" strike="noStrike">
              <a:solidFill>
                <a:srgbClr val="000000"/>
              </a:solidFill>
              <a:latin typeface="Aptos Narrow"/>
            </a:rPr>
            <a:pPr algn="ctr"/>
            <a:t>0.4M</a:t>
          </a:fld>
          <a:endParaRPr lang="en-IN" sz="1800" b="1" u="none">
            <a:solidFill>
              <a:schemeClr val="accent2"/>
            </a:solidFill>
            <a:latin typeface="Arial Rounded MT Bold" panose="020F0704030504030204" pitchFamily="34" charset="0"/>
          </a:endParaRPr>
        </a:p>
      </xdr:txBody>
    </xdr:sp>
    <xdr:clientData/>
  </xdr:twoCellAnchor>
  <xdr:twoCellAnchor>
    <xdr:from>
      <xdr:col>2</xdr:col>
      <xdr:colOff>325754</xdr:colOff>
      <xdr:row>5</xdr:row>
      <xdr:rowOff>163830</xdr:rowOff>
    </xdr:from>
    <xdr:to>
      <xdr:col>4</xdr:col>
      <xdr:colOff>137159</xdr:colOff>
      <xdr:row>6</xdr:row>
      <xdr:rowOff>160020</xdr:rowOff>
    </xdr:to>
    <xdr:sp macro="" textlink="Sheet1!B5">
      <xdr:nvSpPr>
        <xdr:cNvPr id="51" name="Rectangle 50">
          <a:extLst>
            <a:ext uri="{FF2B5EF4-FFF2-40B4-BE49-F238E27FC236}">
              <a16:creationId xmlns:a16="http://schemas.microsoft.com/office/drawing/2014/main" id="{B93BEE79-1D22-4A8F-86B4-67F0224761A4}"/>
            </a:ext>
          </a:extLst>
        </xdr:cNvPr>
        <xdr:cNvSpPr/>
      </xdr:nvSpPr>
      <xdr:spPr>
        <a:xfrm>
          <a:off x="1544954" y="1078230"/>
          <a:ext cx="1030605" cy="1790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0" u="none">
              <a:solidFill>
                <a:schemeClr val="tx1"/>
              </a:solidFill>
              <a:latin typeface="+mj-lt"/>
            </a:rPr>
            <a:t>TOTAL</a:t>
          </a:r>
          <a:r>
            <a:rPr lang="en-IN" sz="800" b="0" u="none" baseline="0">
              <a:solidFill>
                <a:schemeClr val="tx1"/>
              </a:solidFill>
              <a:latin typeface="+mj-lt"/>
            </a:rPr>
            <a:t> SALES</a:t>
          </a:r>
          <a:endParaRPr lang="en-IN" sz="800" b="0" u="none">
            <a:solidFill>
              <a:schemeClr val="tx1"/>
            </a:solidFill>
            <a:latin typeface="+mj-lt"/>
          </a:endParaRPr>
        </a:p>
      </xdr:txBody>
    </xdr:sp>
    <xdr:clientData/>
  </xdr:twoCellAnchor>
  <xdr:twoCellAnchor>
    <xdr:from>
      <xdr:col>5</xdr:col>
      <xdr:colOff>573881</xdr:colOff>
      <xdr:row>5</xdr:row>
      <xdr:rowOff>173355</xdr:rowOff>
    </xdr:from>
    <xdr:to>
      <xdr:col>7</xdr:col>
      <xdr:colOff>385286</xdr:colOff>
      <xdr:row>6</xdr:row>
      <xdr:rowOff>169545</xdr:rowOff>
    </xdr:to>
    <xdr:sp macro="" textlink="Sheet1!B5">
      <xdr:nvSpPr>
        <xdr:cNvPr id="52" name="Rectangle 51">
          <a:extLst>
            <a:ext uri="{FF2B5EF4-FFF2-40B4-BE49-F238E27FC236}">
              <a16:creationId xmlns:a16="http://schemas.microsoft.com/office/drawing/2014/main" id="{67B07F43-F7B3-499D-B246-C152409AE8A0}"/>
            </a:ext>
          </a:extLst>
        </xdr:cNvPr>
        <xdr:cNvSpPr/>
      </xdr:nvSpPr>
      <xdr:spPr>
        <a:xfrm>
          <a:off x="3621881" y="1087755"/>
          <a:ext cx="1030605" cy="1790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0" u="none">
              <a:solidFill>
                <a:schemeClr val="tx1"/>
              </a:solidFill>
              <a:latin typeface="+mj-lt"/>
            </a:rPr>
            <a:t>TOTAL</a:t>
          </a:r>
          <a:r>
            <a:rPr lang="en-IN" sz="800" b="0" u="none" baseline="0">
              <a:solidFill>
                <a:schemeClr val="tx1"/>
              </a:solidFill>
              <a:latin typeface="+mj-lt"/>
            </a:rPr>
            <a:t> ORDERS</a:t>
          </a:r>
          <a:endParaRPr lang="en-IN" sz="800" b="0" u="none">
            <a:solidFill>
              <a:schemeClr val="tx1"/>
            </a:solidFill>
            <a:latin typeface="+mj-lt"/>
          </a:endParaRPr>
        </a:p>
      </xdr:txBody>
    </xdr:sp>
    <xdr:clientData/>
  </xdr:twoCellAnchor>
  <xdr:twoCellAnchor>
    <xdr:from>
      <xdr:col>9</xdr:col>
      <xdr:colOff>147637</xdr:colOff>
      <xdr:row>5</xdr:row>
      <xdr:rowOff>165735</xdr:rowOff>
    </xdr:from>
    <xdr:to>
      <xdr:col>10</xdr:col>
      <xdr:colOff>568642</xdr:colOff>
      <xdr:row>6</xdr:row>
      <xdr:rowOff>161925</xdr:rowOff>
    </xdr:to>
    <xdr:sp macro="" textlink="Sheet1!B5">
      <xdr:nvSpPr>
        <xdr:cNvPr id="53" name="Rectangle 52">
          <a:extLst>
            <a:ext uri="{FF2B5EF4-FFF2-40B4-BE49-F238E27FC236}">
              <a16:creationId xmlns:a16="http://schemas.microsoft.com/office/drawing/2014/main" id="{C21B9FD5-E38B-4A89-B56C-56834D7065D1}"/>
            </a:ext>
          </a:extLst>
        </xdr:cNvPr>
        <xdr:cNvSpPr/>
      </xdr:nvSpPr>
      <xdr:spPr>
        <a:xfrm>
          <a:off x="5634037" y="1080135"/>
          <a:ext cx="1030605" cy="1790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0" u="none">
              <a:solidFill>
                <a:schemeClr val="tx1"/>
              </a:solidFill>
              <a:latin typeface="+mj-lt"/>
            </a:rPr>
            <a:t>TOTAL</a:t>
          </a:r>
          <a:r>
            <a:rPr lang="en-IN" sz="800" b="0" u="none" baseline="0">
              <a:solidFill>
                <a:schemeClr val="tx1"/>
              </a:solidFill>
              <a:latin typeface="+mj-lt"/>
            </a:rPr>
            <a:t> QUANTITY</a:t>
          </a:r>
          <a:endParaRPr lang="en-IN" sz="800" b="0" u="none">
            <a:solidFill>
              <a:schemeClr val="tx1"/>
            </a:solidFill>
            <a:latin typeface="+mj-lt"/>
          </a:endParaRPr>
        </a:p>
      </xdr:txBody>
    </xdr:sp>
    <xdr:clientData/>
  </xdr:twoCellAnchor>
  <xdr:twoCellAnchor>
    <xdr:from>
      <xdr:col>12</xdr:col>
      <xdr:colOff>437673</xdr:colOff>
      <xdr:row>5</xdr:row>
      <xdr:rowOff>173355</xdr:rowOff>
    </xdr:from>
    <xdr:to>
      <xdr:col>14</xdr:col>
      <xdr:colOff>249078</xdr:colOff>
      <xdr:row>6</xdr:row>
      <xdr:rowOff>169545</xdr:rowOff>
    </xdr:to>
    <xdr:sp macro="" textlink="Sheet1!B5">
      <xdr:nvSpPr>
        <xdr:cNvPr id="54" name="Rectangle 53">
          <a:extLst>
            <a:ext uri="{FF2B5EF4-FFF2-40B4-BE49-F238E27FC236}">
              <a16:creationId xmlns:a16="http://schemas.microsoft.com/office/drawing/2014/main" id="{5859F531-B092-4ED0-B4BB-9A408BD04365}"/>
            </a:ext>
          </a:extLst>
        </xdr:cNvPr>
        <xdr:cNvSpPr/>
      </xdr:nvSpPr>
      <xdr:spPr>
        <a:xfrm>
          <a:off x="7752873" y="1087755"/>
          <a:ext cx="1030605" cy="1790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0" u="none">
              <a:solidFill>
                <a:schemeClr val="tx1"/>
              </a:solidFill>
              <a:latin typeface="+mj-lt"/>
            </a:rPr>
            <a:t>AVERAGE</a:t>
          </a:r>
          <a:r>
            <a:rPr lang="en-IN" sz="800" b="0" u="none" baseline="0">
              <a:solidFill>
                <a:schemeClr val="tx1"/>
              </a:solidFill>
              <a:latin typeface="+mj-lt"/>
            </a:rPr>
            <a:t> RATING</a:t>
          </a:r>
          <a:endParaRPr lang="en-IN" sz="800" b="0" u="none">
            <a:solidFill>
              <a:schemeClr val="tx1"/>
            </a:solidFill>
            <a:latin typeface="+mj-lt"/>
          </a:endParaRPr>
        </a:p>
      </xdr:txBody>
    </xdr:sp>
    <xdr:clientData/>
  </xdr:twoCellAnchor>
  <xdr:twoCellAnchor>
    <xdr:from>
      <xdr:col>15</xdr:col>
      <xdr:colOff>598170</xdr:colOff>
      <xdr:row>5</xdr:row>
      <xdr:rowOff>150494</xdr:rowOff>
    </xdr:from>
    <xdr:to>
      <xdr:col>17</xdr:col>
      <xdr:colOff>502920</xdr:colOff>
      <xdr:row>6</xdr:row>
      <xdr:rowOff>175259</xdr:rowOff>
    </xdr:to>
    <xdr:sp macro="" textlink="Sheet1!B5">
      <xdr:nvSpPr>
        <xdr:cNvPr id="55" name="Rectangle 54">
          <a:extLst>
            <a:ext uri="{FF2B5EF4-FFF2-40B4-BE49-F238E27FC236}">
              <a16:creationId xmlns:a16="http://schemas.microsoft.com/office/drawing/2014/main" id="{434C5414-53E9-4840-8EF8-23592E2BD3DB}"/>
            </a:ext>
          </a:extLst>
        </xdr:cNvPr>
        <xdr:cNvSpPr/>
      </xdr:nvSpPr>
      <xdr:spPr>
        <a:xfrm>
          <a:off x="9742170" y="1064894"/>
          <a:ext cx="1123950" cy="2076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0" u="none">
              <a:solidFill>
                <a:schemeClr val="tx1"/>
              </a:solidFill>
              <a:latin typeface="+mj-lt"/>
            </a:rPr>
            <a:t>AVERAGE</a:t>
          </a:r>
          <a:r>
            <a:rPr lang="en-IN" sz="800" b="0" u="none" baseline="0">
              <a:solidFill>
                <a:schemeClr val="tx1"/>
              </a:solidFill>
              <a:latin typeface="+mj-lt"/>
            </a:rPr>
            <a:t> DELIVERY</a:t>
          </a:r>
          <a:endParaRPr lang="en-IN" sz="800" b="0" u="none">
            <a:solidFill>
              <a:schemeClr val="tx1"/>
            </a:solidFill>
            <a:latin typeface="+mj-lt"/>
          </a:endParaRPr>
        </a:p>
      </xdr:txBody>
    </xdr:sp>
    <xdr:clientData/>
  </xdr:twoCellAnchor>
  <xdr:twoCellAnchor>
    <xdr:from>
      <xdr:col>5</xdr:col>
      <xdr:colOff>566261</xdr:colOff>
      <xdr:row>3</xdr:row>
      <xdr:rowOff>165735</xdr:rowOff>
    </xdr:from>
    <xdr:to>
      <xdr:col>7</xdr:col>
      <xdr:colOff>360521</xdr:colOff>
      <xdr:row>6</xdr:row>
      <xdr:rowOff>89535</xdr:rowOff>
    </xdr:to>
    <xdr:sp macro="" textlink="Sheet1!B4">
      <xdr:nvSpPr>
        <xdr:cNvPr id="56" name="Rectangle 55">
          <a:extLst>
            <a:ext uri="{FF2B5EF4-FFF2-40B4-BE49-F238E27FC236}">
              <a16:creationId xmlns:a16="http://schemas.microsoft.com/office/drawing/2014/main" id="{D909A344-F002-4290-BDC9-395585F97A8A}"/>
            </a:ext>
          </a:extLst>
        </xdr:cNvPr>
        <xdr:cNvSpPr/>
      </xdr:nvSpPr>
      <xdr:spPr>
        <a:xfrm>
          <a:off x="3614261" y="714375"/>
          <a:ext cx="1013460" cy="472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A3114BF-582C-4C85-ACD4-8889EF8E890F}" type="TxLink">
            <a:rPr lang="en-US" sz="1800" b="1" i="0" u="none" strike="noStrike">
              <a:solidFill>
                <a:srgbClr val="000000"/>
              </a:solidFill>
              <a:latin typeface="Aptos Narrow"/>
            </a:rPr>
            <a:pPr algn="ctr"/>
            <a:t>12</a:t>
          </a:fld>
          <a:endParaRPr lang="en-IN" sz="1800" b="1" u="none">
            <a:solidFill>
              <a:schemeClr val="accent2"/>
            </a:solidFill>
            <a:latin typeface="Arial Rounded MT Bold" panose="020F0704030504030204" pitchFamily="34" charset="0"/>
          </a:endParaRPr>
        </a:p>
      </xdr:txBody>
    </xdr:sp>
    <xdr:clientData/>
  </xdr:twoCellAnchor>
  <xdr:twoCellAnchor>
    <xdr:from>
      <xdr:col>9</xdr:col>
      <xdr:colOff>86677</xdr:colOff>
      <xdr:row>3</xdr:row>
      <xdr:rowOff>165735</xdr:rowOff>
    </xdr:from>
    <xdr:to>
      <xdr:col>10</xdr:col>
      <xdr:colOff>490537</xdr:colOff>
      <xdr:row>6</xdr:row>
      <xdr:rowOff>89535</xdr:rowOff>
    </xdr:to>
    <xdr:sp macro="" textlink="Sheet1!B6">
      <xdr:nvSpPr>
        <xdr:cNvPr id="57" name="Rectangle 56">
          <a:extLst>
            <a:ext uri="{FF2B5EF4-FFF2-40B4-BE49-F238E27FC236}">
              <a16:creationId xmlns:a16="http://schemas.microsoft.com/office/drawing/2014/main" id="{B1D1C068-D72D-407D-9E57-D9645CAA33C7}"/>
            </a:ext>
          </a:extLst>
        </xdr:cNvPr>
        <xdr:cNvSpPr/>
      </xdr:nvSpPr>
      <xdr:spPr>
        <a:xfrm>
          <a:off x="5573077" y="714375"/>
          <a:ext cx="1013460" cy="472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30F45B6-9D92-480E-A4A8-6443A8546517}" type="TxLink">
            <a:rPr lang="en-US" sz="1800" b="1" i="0" u="none" strike="noStrike">
              <a:solidFill>
                <a:srgbClr val="000000"/>
              </a:solidFill>
              <a:latin typeface="Aptos Narrow"/>
            </a:rPr>
            <a:pPr algn="ctr"/>
            <a:t>0.1K</a:t>
          </a:fld>
          <a:endParaRPr lang="en-IN" sz="1800" b="1" u="none">
            <a:solidFill>
              <a:schemeClr val="accent2"/>
            </a:solidFill>
            <a:latin typeface="Arial Rounded MT Bold" panose="020F0704030504030204" pitchFamily="34" charset="0"/>
          </a:endParaRPr>
        </a:p>
      </xdr:txBody>
    </xdr:sp>
    <xdr:clientData/>
  </xdr:twoCellAnchor>
  <xdr:twoCellAnchor>
    <xdr:from>
      <xdr:col>12</xdr:col>
      <xdr:colOff>369093</xdr:colOff>
      <xdr:row>3</xdr:row>
      <xdr:rowOff>165735</xdr:rowOff>
    </xdr:from>
    <xdr:to>
      <xdr:col>14</xdr:col>
      <xdr:colOff>163353</xdr:colOff>
      <xdr:row>6</xdr:row>
      <xdr:rowOff>89535</xdr:rowOff>
    </xdr:to>
    <xdr:sp macro="" textlink="Sheet1!B7">
      <xdr:nvSpPr>
        <xdr:cNvPr id="58" name="Rectangle 57">
          <a:extLst>
            <a:ext uri="{FF2B5EF4-FFF2-40B4-BE49-F238E27FC236}">
              <a16:creationId xmlns:a16="http://schemas.microsoft.com/office/drawing/2014/main" id="{A79D26D6-B811-4318-B187-AD36DC6687C1}"/>
            </a:ext>
          </a:extLst>
        </xdr:cNvPr>
        <xdr:cNvSpPr/>
      </xdr:nvSpPr>
      <xdr:spPr>
        <a:xfrm>
          <a:off x="7684293" y="714375"/>
          <a:ext cx="1013460" cy="472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0BFA7F-71C5-412D-85E4-64B877A0DDB2}" type="TxLink">
            <a:rPr lang="en-US" sz="1800" b="1" i="0" u="none" strike="noStrike">
              <a:solidFill>
                <a:srgbClr val="000000"/>
              </a:solidFill>
              <a:latin typeface="Aptos Narrow"/>
            </a:rPr>
            <a:pPr algn="ctr"/>
            <a:t>3.73</a:t>
          </a:fld>
          <a:endParaRPr lang="en-IN" sz="1800" b="1" u="none">
            <a:solidFill>
              <a:schemeClr val="accent2"/>
            </a:solidFill>
            <a:latin typeface="Arial Rounded MT Bold" panose="020F0704030504030204" pitchFamily="34" charset="0"/>
          </a:endParaRPr>
        </a:p>
      </xdr:txBody>
    </xdr:sp>
    <xdr:clientData/>
  </xdr:twoCellAnchor>
  <xdr:twoCellAnchor>
    <xdr:from>
      <xdr:col>15</xdr:col>
      <xdr:colOff>590550</xdr:colOff>
      <xdr:row>3</xdr:row>
      <xdr:rowOff>165735</xdr:rowOff>
    </xdr:from>
    <xdr:to>
      <xdr:col>17</xdr:col>
      <xdr:colOff>384810</xdr:colOff>
      <xdr:row>6</xdr:row>
      <xdr:rowOff>89535</xdr:rowOff>
    </xdr:to>
    <xdr:sp macro="" textlink="Sheet1!B8">
      <xdr:nvSpPr>
        <xdr:cNvPr id="59" name="Rectangle 58">
          <a:extLst>
            <a:ext uri="{FF2B5EF4-FFF2-40B4-BE49-F238E27FC236}">
              <a16:creationId xmlns:a16="http://schemas.microsoft.com/office/drawing/2014/main" id="{A2AB1E45-0D20-4DC0-B0DD-F201E4524BFD}"/>
            </a:ext>
          </a:extLst>
        </xdr:cNvPr>
        <xdr:cNvSpPr/>
      </xdr:nvSpPr>
      <xdr:spPr>
        <a:xfrm>
          <a:off x="9734550" y="714375"/>
          <a:ext cx="1013460" cy="472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7B6F0B-4765-439E-9DA2-0AFC3469CD62}" type="TxLink">
            <a:rPr lang="en-US" sz="1800" b="1" i="0" u="none" strike="noStrike">
              <a:solidFill>
                <a:srgbClr val="000000"/>
              </a:solidFill>
              <a:latin typeface="Aptos Narrow"/>
            </a:rPr>
            <a:pPr algn="ctr"/>
            <a:t>4.25</a:t>
          </a:fld>
          <a:endParaRPr lang="en-IN" sz="1800" b="1" u="none">
            <a:solidFill>
              <a:schemeClr val="accent2"/>
            </a:solidFill>
            <a:latin typeface="Arial Rounded MT Bold" panose="020F0704030504030204" pitchFamily="34" charset="0"/>
          </a:endParaRPr>
        </a:p>
      </xdr:txBody>
    </xdr:sp>
    <xdr:clientData/>
  </xdr:twoCellAnchor>
  <xdr:twoCellAnchor>
    <xdr:from>
      <xdr:col>2</xdr:col>
      <xdr:colOff>22860</xdr:colOff>
      <xdr:row>9</xdr:row>
      <xdr:rowOff>60960</xdr:rowOff>
    </xdr:from>
    <xdr:to>
      <xdr:col>6</xdr:col>
      <xdr:colOff>403860</xdr:colOff>
      <xdr:row>15</xdr:row>
      <xdr:rowOff>114300</xdr:rowOff>
    </xdr:to>
    <xdr:graphicFrame macro="">
      <xdr:nvGraphicFramePr>
        <xdr:cNvPr id="61" name="Chart 60">
          <a:extLst>
            <a:ext uri="{FF2B5EF4-FFF2-40B4-BE49-F238E27FC236}">
              <a16:creationId xmlns:a16="http://schemas.microsoft.com/office/drawing/2014/main" id="{128DA57E-613A-4C42-8255-C5B03160C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480060</xdr:colOff>
      <xdr:row>9</xdr:row>
      <xdr:rowOff>167640</xdr:rowOff>
    </xdr:from>
    <xdr:to>
      <xdr:col>12</xdr:col>
      <xdr:colOff>190500</xdr:colOff>
      <xdr:row>15</xdr:row>
      <xdr:rowOff>175260</xdr:rowOff>
    </xdr:to>
    <xdr:graphicFrame macro="">
      <xdr:nvGraphicFramePr>
        <xdr:cNvPr id="62" name="Chart 61">
          <a:extLst>
            <a:ext uri="{FF2B5EF4-FFF2-40B4-BE49-F238E27FC236}">
              <a16:creationId xmlns:a16="http://schemas.microsoft.com/office/drawing/2014/main" id="{C176DFA2-38F1-4CFD-8CBF-634AFEA8E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210503</xdr:colOff>
      <xdr:row>8</xdr:row>
      <xdr:rowOff>163830</xdr:rowOff>
    </xdr:from>
    <xdr:to>
      <xdr:col>11</xdr:col>
      <xdr:colOff>426403</xdr:colOff>
      <xdr:row>9</xdr:row>
      <xdr:rowOff>151130</xdr:rowOff>
    </xdr:to>
    <xdr:sp macro="" textlink="">
      <xdr:nvSpPr>
        <xdr:cNvPr id="63" name="Rectangle 62">
          <a:extLst>
            <a:ext uri="{FF2B5EF4-FFF2-40B4-BE49-F238E27FC236}">
              <a16:creationId xmlns:a16="http://schemas.microsoft.com/office/drawing/2014/main" id="{53432CF7-460F-0855-169B-19C5E76EC603}"/>
            </a:ext>
          </a:extLst>
        </xdr:cNvPr>
        <xdr:cNvSpPr/>
      </xdr:nvSpPr>
      <xdr:spPr>
        <a:xfrm>
          <a:off x="5087303" y="1695450"/>
          <a:ext cx="2044700" cy="170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IN" sz="800" b="1" u="none">
              <a:solidFill>
                <a:schemeClr val="tx1"/>
              </a:solidFill>
              <a:latin typeface="+mj-lt"/>
            </a:rPr>
            <a:t>SALES</a:t>
          </a:r>
          <a:r>
            <a:rPr lang="en-IN" sz="800" b="1" u="none" baseline="0">
              <a:solidFill>
                <a:schemeClr val="tx1"/>
              </a:solidFill>
              <a:latin typeface="+mj-lt"/>
            </a:rPr>
            <a:t> BY CATOGORY</a:t>
          </a:r>
          <a:endParaRPr lang="en-IN" sz="800" b="1" u="none">
            <a:solidFill>
              <a:schemeClr val="tx1"/>
            </a:solidFill>
            <a:latin typeface="+mj-lt"/>
          </a:endParaRPr>
        </a:p>
      </xdr:txBody>
    </xdr:sp>
    <xdr:clientData/>
  </xdr:twoCellAnchor>
  <xdr:twoCellAnchor>
    <xdr:from>
      <xdr:col>12</xdr:col>
      <xdr:colOff>487680</xdr:colOff>
      <xdr:row>8</xdr:row>
      <xdr:rowOff>91440</xdr:rowOff>
    </xdr:from>
    <xdr:to>
      <xdr:col>15</xdr:col>
      <xdr:colOff>518160</xdr:colOff>
      <xdr:row>15</xdr:row>
      <xdr:rowOff>160020</xdr:rowOff>
    </xdr:to>
    <mc:AlternateContent xmlns:mc="http://schemas.openxmlformats.org/markup-compatibility/2006">
      <mc:Choice xmlns:cx4="http://schemas.microsoft.com/office/drawing/2016/5/10/chartex" Requires="cx4">
        <xdr:graphicFrame macro="">
          <xdr:nvGraphicFramePr>
            <xdr:cNvPr id="1024" name="Chart 1023">
              <a:extLst>
                <a:ext uri="{FF2B5EF4-FFF2-40B4-BE49-F238E27FC236}">
                  <a16:creationId xmlns:a16="http://schemas.microsoft.com/office/drawing/2014/main" id="{47DDE12A-1A85-4F64-8D7B-A885F96008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7802880" y="1623060"/>
              <a:ext cx="1859280" cy="1348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15240</xdr:colOff>
      <xdr:row>15</xdr:row>
      <xdr:rowOff>15240</xdr:rowOff>
    </xdr:from>
    <xdr:to>
      <xdr:col>15</xdr:col>
      <xdr:colOff>464820</xdr:colOff>
      <xdr:row>15</xdr:row>
      <xdr:rowOff>68580</xdr:rowOff>
    </xdr:to>
    <xdr:sp macro="" textlink="">
      <xdr:nvSpPr>
        <xdr:cNvPr id="1025" name="Rectangle 1024">
          <a:extLst>
            <a:ext uri="{FF2B5EF4-FFF2-40B4-BE49-F238E27FC236}">
              <a16:creationId xmlns:a16="http://schemas.microsoft.com/office/drawing/2014/main" id="{6F138691-16D4-9613-CCED-96B8AE16CB2F}"/>
            </a:ext>
          </a:extLst>
        </xdr:cNvPr>
        <xdr:cNvSpPr/>
      </xdr:nvSpPr>
      <xdr:spPr>
        <a:xfrm>
          <a:off x="8549640" y="2827020"/>
          <a:ext cx="1059180" cy="53340"/>
        </a:xfrm>
        <a:prstGeom prst="rect">
          <a:avLst/>
        </a:prstGeom>
        <a:solidFill>
          <a:srgbClr val="FFF8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800" b="0">
            <a:solidFill>
              <a:srgbClr val="F4B183"/>
            </a:solidFill>
            <a:latin typeface="+mj-lt"/>
          </a:endParaRPr>
        </a:p>
      </xdr:txBody>
    </xdr:sp>
    <xdr:clientData/>
  </xdr:twoCellAnchor>
  <xdr:twoCellAnchor>
    <xdr:from>
      <xdr:col>14</xdr:col>
      <xdr:colOff>327660</xdr:colOff>
      <xdr:row>14</xdr:row>
      <xdr:rowOff>68579</xdr:rowOff>
    </xdr:from>
    <xdr:to>
      <xdr:col>15</xdr:col>
      <xdr:colOff>525780</xdr:colOff>
      <xdr:row>15</xdr:row>
      <xdr:rowOff>106679</xdr:rowOff>
    </xdr:to>
    <xdr:sp macro="" textlink="">
      <xdr:nvSpPr>
        <xdr:cNvPr id="1026" name="Rectangle 1025">
          <a:extLst>
            <a:ext uri="{FF2B5EF4-FFF2-40B4-BE49-F238E27FC236}">
              <a16:creationId xmlns:a16="http://schemas.microsoft.com/office/drawing/2014/main" id="{1775BBC2-A318-CDDB-F4EB-6C74E4F77750}"/>
            </a:ext>
          </a:extLst>
        </xdr:cNvPr>
        <xdr:cNvSpPr/>
      </xdr:nvSpPr>
      <xdr:spPr>
        <a:xfrm flipV="1">
          <a:off x="8862060" y="2697479"/>
          <a:ext cx="807720" cy="220980"/>
        </a:xfrm>
        <a:prstGeom prst="rect">
          <a:avLst/>
        </a:prstGeom>
        <a:solidFill>
          <a:srgbClr val="FFF8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4B183"/>
            </a:solidFill>
          </a:endParaRPr>
        </a:p>
      </xdr:txBody>
    </xdr:sp>
    <xdr:clientData/>
  </xdr:twoCellAnchor>
  <xdr:twoCellAnchor>
    <xdr:from>
      <xdr:col>15</xdr:col>
      <xdr:colOff>53340</xdr:colOff>
      <xdr:row>9</xdr:row>
      <xdr:rowOff>76200</xdr:rowOff>
    </xdr:from>
    <xdr:to>
      <xdr:col>18</xdr:col>
      <xdr:colOff>60960</xdr:colOff>
      <xdr:row>15</xdr:row>
      <xdr:rowOff>83820</xdr:rowOff>
    </xdr:to>
    <xdr:graphicFrame macro="">
      <xdr:nvGraphicFramePr>
        <xdr:cNvPr id="1028" name="Chart 1027">
          <a:extLst>
            <a:ext uri="{FF2B5EF4-FFF2-40B4-BE49-F238E27FC236}">
              <a16:creationId xmlns:a16="http://schemas.microsoft.com/office/drawing/2014/main" id="{F03534D6-21AF-46B8-A9DF-33D0689C4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15</xdr:col>
      <xdr:colOff>60960</xdr:colOff>
      <xdr:row>8</xdr:row>
      <xdr:rowOff>121920</xdr:rowOff>
    </xdr:from>
    <xdr:to>
      <xdr:col>18</xdr:col>
      <xdr:colOff>68580</xdr:colOff>
      <xdr:row>9</xdr:row>
      <xdr:rowOff>129540</xdr:rowOff>
    </xdr:to>
    <xdr:pic>
      <xdr:nvPicPr>
        <xdr:cNvPr id="1031" name="Picture 1030">
          <a:extLst>
            <a:ext uri="{FF2B5EF4-FFF2-40B4-BE49-F238E27FC236}">
              <a16:creationId xmlns:a16="http://schemas.microsoft.com/office/drawing/2014/main" id="{13611265-34A5-AA9D-2F57-525D31163DAE}"/>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9204960" y="1653540"/>
          <a:ext cx="18364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601980</xdr:colOff>
      <xdr:row>16</xdr:row>
      <xdr:rowOff>167640</xdr:rowOff>
    </xdr:from>
    <xdr:to>
      <xdr:col>6</xdr:col>
      <xdr:colOff>518160</xdr:colOff>
      <xdr:row>24</xdr:row>
      <xdr:rowOff>30480</xdr:rowOff>
    </xdr:to>
    <xdr:graphicFrame macro="">
      <xdr:nvGraphicFramePr>
        <xdr:cNvPr id="4" name="Chart 3">
          <a:extLst>
            <a:ext uri="{FF2B5EF4-FFF2-40B4-BE49-F238E27FC236}">
              <a16:creationId xmlns:a16="http://schemas.microsoft.com/office/drawing/2014/main" id="{BC3A8EE0-F29C-47F6-8419-E59332708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362903</xdr:colOff>
      <xdr:row>9</xdr:row>
      <xdr:rowOff>133350</xdr:rowOff>
    </xdr:from>
    <xdr:to>
      <xdr:col>11</xdr:col>
      <xdr:colOff>578803</xdr:colOff>
      <xdr:row>10</xdr:row>
      <xdr:rowOff>120650</xdr:rowOff>
    </xdr:to>
    <xdr:sp macro="" textlink="">
      <xdr:nvSpPr>
        <xdr:cNvPr id="7" name="Rectangle 6">
          <a:extLst>
            <a:ext uri="{FF2B5EF4-FFF2-40B4-BE49-F238E27FC236}">
              <a16:creationId xmlns:a16="http://schemas.microsoft.com/office/drawing/2014/main" id="{2BAB4C79-AD36-4EB3-85D4-7192BE1695EB}"/>
            </a:ext>
          </a:extLst>
        </xdr:cNvPr>
        <xdr:cNvSpPr/>
      </xdr:nvSpPr>
      <xdr:spPr>
        <a:xfrm>
          <a:off x="5239703" y="1847850"/>
          <a:ext cx="2044700" cy="170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IN" sz="800" b="1" u="none">
            <a:solidFill>
              <a:schemeClr val="tx1"/>
            </a:solidFill>
            <a:latin typeface="+mj-lt"/>
          </a:endParaRPr>
        </a:p>
      </xdr:txBody>
    </xdr:sp>
    <xdr:clientData/>
  </xdr:twoCellAnchor>
  <xdr:twoCellAnchor>
    <xdr:from>
      <xdr:col>7</xdr:col>
      <xdr:colOff>457200</xdr:colOff>
      <xdr:row>16</xdr:row>
      <xdr:rowOff>152400</xdr:rowOff>
    </xdr:from>
    <xdr:to>
      <xdr:col>12</xdr:col>
      <xdr:colOff>556260</xdr:colOff>
      <xdr:row>23</xdr:row>
      <xdr:rowOff>91440</xdr:rowOff>
    </xdr:to>
    <xdr:graphicFrame macro="">
      <xdr:nvGraphicFramePr>
        <xdr:cNvPr id="8" name="Chart 7">
          <a:extLst>
            <a:ext uri="{FF2B5EF4-FFF2-40B4-BE49-F238E27FC236}">
              <a16:creationId xmlns:a16="http://schemas.microsoft.com/office/drawing/2014/main" id="{33F2C43B-6FC4-4204-A1AC-03BB8508A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251460</xdr:colOff>
      <xdr:row>17</xdr:row>
      <xdr:rowOff>0</xdr:rowOff>
    </xdr:from>
    <xdr:to>
      <xdr:col>11</xdr:col>
      <xdr:colOff>467360</xdr:colOff>
      <xdr:row>17</xdr:row>
      <xdr:rowOff>170180</xdr:rowOff>
    </xdr:to>
    <xdr:sp macro="" textlink="">
      <xdr:nvSpPr>
        <xdr:cNvPr id="11" name="Rectangle 10">
          <a:extLst>
            <a:ext uri="{FF2B5EF4-FFF2-40B4-BE49-F238E27FC236}">
              <a16:creationId xmlns:a16="http://schemas.microsoft.com/office/drawing/2014/main" id="{89B5FD82-03B5-86BA-5ADA-523E72AD64C2}"/>
            </a:ext>
          </a:extLst>
        </xdr:cNvPr>
        <xdr:cNvSpPr/>
      </xdr:nvSpPr>
      <xdr:spPr>
        <a:xfrm>
          <a:off x="5128260" y="3177540"/>
          <a:ext cx="2044700" cy="170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IN" sz="800" b="1" u="none">
              <a:solidFill>
                <a:schemeClr val="tx1"/>
              </a:solidFill>
              <a:latin typeface="+mj-lt"/>
            </a:rPr>
            <a:t>SALES</a:t>
          </a:r>
          <a:r>
            <a:rPr lang="en-IN" sz="800" b="1" u="none" baseline="0">
              <a:solidFill>
                <a:schemeClr val="tx1"/>
              </a:solidFill>
              <a:latin typeface="+mj-lt"/>
            </a:rPr>
            <a:t> BY PRODUCT</a:t>
          </a:r>
          <a:endParaRPr lang="en-IN" sz="800" b="1" u="none">
            <a:solidFill>
              <a:schemeClr val="tx1"/>
            </a:solidFill>
            <a:latin typeface="+mj-lt"/>
          </a:endParaRPr>
        </a:p>
      </xdr:txBody>
    </xdr:sp>
    <xdr:clientData/>
  </xdr:twoCellAnchor>
  <xdr:twoCellAnchor>
    <xdr:from>
      <xdr:col>13</xdr:col>
      <xdr:colOff>346363</xdr:colOff>
      <xdr:row>16</xdr:row>
      <xdr:rowOff>147206</xdr:rowOff>
    </xdr:from>
    <xdr:to>
      <xdr:col>18</xdr:col>
      <xdr:colOff>242454</xdr:colOff>
      <xdr:row>24</xdr:row>
      <xdr:rowOff>7620</xdr:rowOff>
    </xdr:to>
    <xdr:graphicFrame macro="">
      <xdr:nvGraphicFramePr>
        <xdr:cNvPr id="14" name="Chart 13">
          <a:extLst>
            <a:ext uri="{FF2B5EF4-FFF2-40B4-BE49-F238E27FC236}">
              <a16:creationId xmlns:a16="http://schemas.microsoft.com/office/drawing/2014/main" id="{39BA2D0A-A638-4932-926E-1BB3B0772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281940</xdr:colOff>
      <xdr:row>16</xdr:row>
      <xdr:rowOff>175260</xdr:rowOff>
    </xdr:from>
    <xdr:to>
      <xdr:col>17</xdr:col>
      <xdr:colOff>497840</xdr:colOff>
      <xdr:row>17</xdr:row>
      <xdr:rowOff>162560</xdr:rowOff>
    </xdr:to>
    <xdr:sp macro="" textlink="">
      <xdr:nvSpPr>
        <xdr:cNvPr id="15" name="Rectangle 14">
          <a:extLst>
            <a:ext uri="{FF2B5EF4-FFF2-40B4-BE49-F238E27FC236}">
              <a16:creationId xmlns:a16="http://schemas.microsoft.com/office/drawing/2014/main" id="{61EBE15B-E338-48F7-BE89-482C73A8B9A4}"/>
            </a:ext>
          </a:extLst>
        </xdr:cNvPr>
        <xdr:cNvSpPr/>
      </xdr:nvSpPr>
      <xdr:spPr>
        <a:xfrm>
          <a:off x="8816340" y="3169920"/>
          <a:ext cx="2044700" cy="170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IN" sz="800" b="1" u="none">
              <a:solidFill>
                <a:schemeClr val="tx1"/>
              </a:solidFill>
              <a:latin typeface="+mj-lt"/>
            </a:rPr>
            <a:t>ORDER</a:t>
          </a:r>
          <a:r>
            <a:rPr lang="en-IN" sz="800" b="1" u="none" baseline="0">
              <a:solidFill>
                <a:schemeClr val="tx1"/>
              </a:solidFill>
              <a:latin typeface="+mj-lt"/>
            </a:rPr>
            <a:t> DETAILS</a:t>
          </a:r>
          <a:endParaRPr lang="en-IN" sz="800" b="1" u="none">
            <a:solidFill>
              <a:schemeClr val="tx1"/>
            </a:solidFill>
            <a:latin typeface="+mj-lt"/>
          </a:endParaRPr>
        </a:p>
      </xdr:txBody>
    </xdr:sp>
    <xdr:clientData/>
  </xdr:twoCellAnchor>
  <xdr:twoCellAnchor editAs="oneCell">
    <xdr:from>
      <xdr:col>0</xdr:col>
      <xdr:colOff>68580</xdr:colOff>
      <xdr:row>12</xdr:row>
      <xdr:rowOff>138584</xdr:rowOff>
    </xdr:from>
    <xdr:to>
      <xdr:col>1</xdr:col>
      <xdr:colOff>368439</xdr:colOff>
      <xdr:row>20</xdr:row>
      <xdr:rowOff>100483</xdr:rowOff>
    </xdr:to>
    <mc:AlternateContent xmlns:mc="http://schemas.openxmlformats.org/markup-compatibility/2006" xmlns:a14="http://schemas.microsoft.com/office/drawing/2010/main">
      <mc:Choice Requires="a14">
        <xdr:graphicFrame macro="">
          <xdr:nvGraphicFramePr>
            <xdr:cNvPr id="16" name="Seller">
              <a:extLst>
                <a:ext uri="{FF2B5EF4-FFF2-40B4-BE49-F238E27FC236}">
                  <a16:creationId xmlns:a16="http://schemas.microsoft.com/office/drawing/2014/main" id="{C31EAC88-0F9F-49EB-BAC5-E077FADA832A}"/>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mlns="">
        <xdr:sp macro="" textlink="">
          <xdr:nvSpPr>
            <xdr:cNvPr id="0" name=""/>
            <xdr:cNvSpPr>
              <a:spLocks noTextEdit="1"/>
            </xdr:cNvSpPr>
          </xdr:nvSpPr>
          <xdr:spPr>
            <a:xfrm>
              <a:off x="68580" y="2416210"/>
              <a:ext cx="911134" cy="1435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88220</xdr:colOff>
      <xdr:row>20</xdr:row>
      <xdr:rowOff>125749</xdr:rowOff>
    </xdr:from>
    <xdr:to>
      <xdr:col>1</xdr:col>
      <xdr:colOff>324440</xdr:colOff>
      <xdr:row>28</xdr:row>
      <xdr:rowOff>41869</xdr:rowOff>
    </xdr:to>
    <mc:AlternateContent xmlns:mc="http://schemas.openxmlformats.org/markup-compatibility/2006" xmlns:a14="http://schemas.microsoft.com/office/drawing/2010/main">
      <mc:Choice Requires="a14">
        <xdr:graphicFrame macro="">
          <xdr:nvGraphicFramePr>
            <xdr:cNvPr id="17" name="Payment_Method">
              <a:extLst>
                <a:ext uri="{FF2B5EF4-FFF2-40B4-BE49-F238E27FC236}">
                  <a16:creationId xmlns:a16="http://schemas.microsoft.com/office/drawing/2014/main" id="{17EDA027-0B22-4ADA-BB62-AF817A0C39D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88220" y="3877134"/>
              <a:ext cx="847495" cy="1389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5</xdr:row>
      <xdr:rowOff>15240</xdr:rowOff>
    </xdr:from>
    <xdr:to>
      <xdr:col>1</xdr:col>
      <xdr:colOff>342900</xdr:colOff>
      <xdr:row>12</xdr:row>
      <xdr:rowOff>66989</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3FC1DE24-677E-470D-A711-281335B5A46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1920" y="936339"/>
              <a:ext cx="832255" cy="1408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0.29829</cdr:x>
      <cdr:y>0</cdr:y>
    </cdr:from>
    <cdr:to>
      <cdr:x>0.66285</cdr:x>
      <cdr:y>0.15598</cdr:y>
    </cdr:to>
    <cdr:sp macro="" textlink="">
      <cdr:nvSpPr>
        <cdr:cNvPr id="2" name="Rectangle 1">
          <a:extLst xmlns:a="http://schemas.openxmlformats.org/drawingml/2006/main">
            <a:ext uri="{FF2B5EF4-FFF2-40B4-BE49-F238E27FC236}">
              <a16:creationId xmlns:a16="http://schemas.microsoft.com/office/drawing/2014/main" id="{B93BEE79-1D22-4A8F-86B4-67F0224761A4}"/>
            </a:ext>
          </a:extLst>
        </cdr:cNvPr>
        <cdr:cNvSpPr/>
      </cdr:nvSpPr>
      <cdr:spPr>
        <a:xfrm xmlns:a="http://schemas.openxmlformats.org/drawingml/2006/main">
          <a:off x="843280" y="0"/>
          <a:ext cx="1030605" cy="18542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800" b="1" u="none">
              <a:solidFill>
                <a:schemeClr val="tx1"/>
              </a:solidFill>
              <a:latin typeface="+mj-lt"/>
            </a:rPr>
            <a:t>SALES</a:t>
          </a:r>
          <a:r>
            <a:rPr lang="en-IN" sz="800" b="0" u="none" baseline="0">
              <a:solidFill>
                <a:schemeClr val="tx1"/>
              </a:solidFill>
              <a:latin typeface="+mj-lt"/>
            </a:rPr>
            <a:t> </a:t>
          </a:r>
          <a:r>
            <a:rPr lang="en-IN" sz="800" b="1" u="none" baseline="0">
              <a:solidFill>
                <a:schemeClr val="tx1"/>
              </a:solidFill>
              <a:latin typeface="+mj-lt"/>
            </a:rPr>
            <a:t>BY MONTH</a:t>
          </a:r>
          <a:endParaRPr lang="en-IN" sz="800" b="1" u="none">
            <a:solidFill>
              <a:schemeClr val="tx1"/>
            </a:solidFill>
            <a:latin typeface="+mj-l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0.10197</cdr:x>
      <cdr:y>0.01533</cdr:y>
    </cdr:from>
    <cdr:to>
      <cdr:x>0.79177</cdr:x>
      <cdr:y>0.14368</cdr:y>
    </cdr:to>
    <cdr:sp macro="" textlink="">
      <cdr:nvSpPr>
        <cdr:cNvPr id="2" name="Rectangle 1">
          <a:extLst xmlns:a="http://schemas.openxmlformats.org/drawingml/2006/main">
            <a:ext uri="{FF2B5EF4-FFF2-40B4-BE49-F238E27FC236}">
              <a16:creationId xmlns:a16="http://schemas.microsoft.com/office/drawing/2014/main" id="{53432CF7-460F-0855-169B-19C5E76EC603}"/>
            </a:ext>
          </a:extLst>
        </cdr:cNvPr>
        <cdr:cNvSpPr/>
      </cdr:nvSpPr>
      <cdr:spPr>
        <a:xfrm xmlns:a="http://schemas.openxmlformats.org/drawingml/2006/main">
          <a:off x="302260" y="20320"/>
          <a:ext cx="2044700" cy="17018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rtlCol="0"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800" b="1" u="none">
              <a:solidFill>
                <a:schemeClr val="tx1"/>
              </a:solidFill>
              <a:latin typeface="+mj-lt"/>
            </a:rPr>
            <a:t>SALES</a:t>
          </a:r>
          <a:r>
            <a:rPr lang="en-IN" sz="800" b="1" u="none" baseline="0">
              <a:solidFill>
                <a:schemeClr val="tx1"/>
              </a:solidFill>
              <a:latin typeface="+mj-lt"/>
            </a:rPr>
            <a:t> BY PAYMENT METHOD</a:t>
          </a:r>
          <a:endParaRPr lang="en-IN" sz="800" b="1" u="none">
            <a:solidFill>
              <a:schemeClr val="tx1"/>
            </a:solidFill>
            <a:latin typeface="+mj-lt"/>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l rahman" refreshedDate="46284.897820138889" createdVersion="8" refreshedVersion="8" minRefreshableVersion="3" recordCount="500" xr:uid="{7BC26D92-6218-4E2A-80D0-5BAE9D5EF307}">
  <cacheSource type="worksheet">
    <worksheetSource name="Table2"/>
  </cacheSource>
  <cacheFields count="13">
    <cacheField name="Order_ID" numFmtId="0">
      <sharedItems count="500">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haredItems>
    </cacheField>
    <cacheField name="Date" numFmtId="0">
      <sharedItems/>
    </cacheField>
    <cacheField name="Customer_Name" numFmtId="0">
      <sharedItems count="20">
        <s v="Rohit"/>
        <s v="Kavya"/>
        <s v="Neha"/>
        <s v="Rahul"/>
        <s v="Akash"/>
        <s v="Anjali"/>
        <s v="Divya"/>
        <s v="Arjun"/>
        <s v="Ali"/>
        <s v="Vikas"/>
        <s v="Naveen"/>
        <s v="Priya"/>
        <s v="Pooja"/>
        <s v="Aman"/>
        <s v="Sanjay"/>
        <s v="Kiran"/>
        <s v="Vijay"/>
        <s v="Meena"/>
        <s v="Sneha"/>
        <s v="Ria"/>
      </sharedItems>
    </cacheField>
    <cacheField name="Product" numFmtId="0">
      <sharedItems count="21">
        <s v="Shampoo"/>
        <s v="Chair"/>
        <s v="iPhone 15"/>
        <s v="Shoes"/>
        <s v="Jeans"/>
        <s v="Business Book"/>
        <s v="Bedsheet"/>
        <s v="Python Book"/>
        <s v="Lamp"/>
        <s v="Mixer"/>
        <s v="Perfume"/>
        <s v="Watch"/>
        <s v="AirPods Pro"/>
        <s v="Cookbook"/>
        <s v="Laptop"/>
        <s v="Lipstick"/>
        <s v="MacBook Air"/>
        <s v="Novel"/>
        <s v="T-Shirt"/>
        <s v="Sony Headphones"/>
        <s v="Face Wash"/>
      </sharedItems>
    </cacheField>
    <cacheField name="Category" numFmtId="0">
      <sharedItems count="5">
        <s v="Beauty"/>
        <s v="Home"/>
        <s v="Electronics"/>
        <s v="Fashion"/>
        <s v="Books"/>
      </sharedItems>
    </cacheField>
    <cacheField name="State" numFmtId="0">
      <sharedItems count="6">
        <s v="Karnataka"/>
        <s v="Gujrat"/>
        <s v="Telangana"/>
        <s v="Maharashtra"/>
        <s v="Delhi"/>
        <s v="Tamil Nadu"/>
      </sharedItems>
    </cacheField>
    <cacheField name="Seller" numFmtId="0">
      <sharedItems count="4">
        <s v="BookWorld"/>
        <s v="TechStore"/>
        <s v="BeautyCare"/>
        <s v="HomeMart"/>
      </sharedItems>
    </cacheField>
    <cacheField name="Payment_Method" numFmtId="0">
      <sharedItems count="4">
        <s v="Cash"/>
        <s v="Net Banking"/>
        <s v="Card"/>
        <s v="UPI"/>
      </sharedItems>
    </cacheField>
    <cacheField name="Sales" numFmtId="0">
      <sharedItems containsSemiMixedTypes="0" containsString="0" containsNumber="1" containsInteger="1" minValue="307" maxValue="596816"/>
    </cacheField>
    <cacheField name="Quantity" numFmtId="0">
      <sharedItems containsSemiMixedTypes="0" containsString="0" containsNumber="1" containsInteger="1" minValue="1" maxValue="8"/>
    </cacheField>
    <cacheField name="Rating" numFmtId="0">
      <sharedItems containsSemiMixedTypes="0" containsString="0" containsNumber="1" minValue="3.2" maxValue="5"/>
    </cacheField>
    <cacheField name="Delivery" numFmtId="0">
      <sharedItems containsSemiMixedTypes="0" containsString="0" containsNumber="1" containsInteger="1" minValue="1" maxValue="8"/>
    </cacheField>
    <cacheField name="Month" numFmtId="0">
      <sharedItems count="12">
        <s v="May"/>
        <s v="Oct"/>
        <s v="Apr"/>
        <s v="Aug"/>
        <s v="Jul"/>
        <s v="Sep"/>
        <s v="Mar"/>
        <s v="Feb"/>
        <s v="Dec"/>
        <s v="Jun"/>
        <s v="Jan"/>
        <s v="Nov"/>
      </sharedItems>
    </cacheField>
  </cacheFields>
  <extLst>
    <ext xmlns:x14="http://schemas.microsoft.com/office/spreadsheetml/2009/9/main" uri="{725AE2AE-9491-48be-B2B4-4EB974FC3084}">
      <x14:pivotCacheDefinition pivotCacheId="2142580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21/05/2025"/>
    <x v="0"/>
    <x v="0"/>
    <x v="0"/>
    <x v="0"/>
    <x v="0"/>
    <x v="0"/>
    <n v="3028"/>
    <n v="4"/>
    <n v="4.3"/>
    <n v="1"/>
    <x v="0"/>
  </r>
  <r>
    <x v="1"/>
    <s v="15/10/2025"/>
    <x v="1"/>
    <x v="1"/>
    <x v="1"/>
    <x v="1"/>
    <x v="1"/>
    <x v="1"/>
    <n v="32636"/>
    <n v="4"/>
    <n v="4.3"/>
    <n v="1"/>
    <x v="1"/>
  </r>
  <r>
    <x v="2"/>
    <s v="21/04/2025"/>
    <x v="2"/>
    <x v="2"/>
    <x v="2"/>
    <x v="1"/>
    <x v="1"/>
    <x v="2"/>
    <n v="313782"/>
    <n v="6"/>
    <n v="4.7"/>
    <n v="5"/>
    <x v="2"/>
  </r>
  <r>
    <x v="3"/>
    <s v="10/10/2025"/>
    <x v="3"/>
    <x v="3"/>
    <x v="3"/>
    <x v="0"/>
    <x v="0"/>
    <x v="2"/>
    <n v="11375"/>
    <n v="5"/>
    <n v="3.3"/>
    <n v="4"/>
    <x v="1"/>
  </r>
  <r>
    <x v="4"/>
    <s v="21/08/2025"/>
    <x v="4"/>
    <x v="4"/>
    <x v="3"/>
    <x v="1"/>
    <x v="0"/>
    <x v="0"/>
    <n v="14496"/>
    <n v="6"/>
    <n v="3.7"/>
    <n v="2"/>
    <x v="3"/>
  </r>
  <r>
    <x v="5"/>
    <s v="14/07/2025"/>
    <x v="5"/>
    <x v="5"/>
    <x v="4"/>
    <x v="2"/>
    <x v="2"/>
    <x v="0"/>
    <n v="5745"/>
    <n v="5"/>
    <n v="4.7"/>
    <n v="6"/>
    <x v="4"/>
  </r>
  <r>
    <x v="6"/>
    <s v="19/04/2025"/>
    <x v="6"/>
    <x v="6"/>
    <x v="1"/>
    <x v="3"/>
    <x v="1"/>
    <x v="1"/>
    <n v="24696"/>
    <n v="8"/>
    <n v="3.6"/>
    <n v="5"/>
    <x v="2"/>
  </r>
  <r>
    <x v="7"/>
    <s v="18/09/2025"/>
    <x v="4"/>
    <x v="7"/>
    <x v="4"/>
    <x v="0"/>
    <x v="1"/>
    <x v="3"/>
    <n v="3536"/>
    <n v="8"/>
    <n v="3.5"/>
    <n v="7"/>
    <x v="5"/>
  </r>
  <r>
    <x v="8"/>
    <s v="28/09/2025"/>
    <x v="7"/>
    <x v="8"/>
    <x v="1"/>
    <x v="2"/>
    <x v="1"/>
    <x v="0"/>
    <n v="25855"/>
    <n v="5"/>
    <n v="4.5999999999999996"/>
    <n v="6"/>
    <x v="5"/>
  </r>
  <r>
    <x v="9"/>
    <s v="15/05/2025"/>
    <x v="8"/>
    <x v="3"/>
    <x v="3"/>
    <x v="2"/>
    <x v="0"/>
    <x v="2"/>
    <n v="9432"/>
    <n v="3"/>
    <n v="4.0999999999999996"/>
    <n v="4"/>
    <x v="0"/>
  </r>
  <r>
    <x v="10"/>
    <s v="08/09/2025"/>
    <x v="9"/>
    <x v="6"/>
    <x v="1"/>
    <x v="1"/>
    <x v="1"/>
    <x v="2"/>
    <n v="1749"/>
    <n v="1"/>
    <n v="3.6"/>
    <n v="2"/>
    <x v="5"/>
  </r>
  <r>
    <x v="11"/>
    <s v="07/03/2025"/>
    <x v="10"/>
    <x v="9"/>
    <x v="1"/>
    <x v="1"/>
    <x v="0"/>
    <x v="1"/>
    <n v="85904"/>
    <n v="8"/>
    <n v="4"/>
    <n v="4"/>
    <x v="6"/>
  </r>
  <r>
    <x v="12"/>
    <s v="13/08/2025"/>
    <x v="6"/>
    <x v="4"/>
    <x v="3"/>
    <x v="4"/>
    <x v="2"/>
    <x v="2"/>
    <n v="9792"/>
    <n v="8"/>
    <n v="3.2"/>
    <n v="4"/>
    <x v="3"/>
  </r>
  <r>
    <x v="13"/>
    <s v="04/02/2025"/>
    <x v="10"/>
    <x v="10"/>
    <x v="0"/>
    <x v="4"/>
    <x v="1"/>
    <x v="0"/>
    <n v="976"/>
    <n v="1"/>
    <n v="4.4000000000000004"/>
    <n v="4"/>
    <x v="7"/>
  </r>
  <r>
    <x v="14"/>
    <s v="08/04/2025"/>
    <x v="7"/>
    <x v="11"/>
    <x v="3"/>
    <x v="0"/>
    <x v="1"/>
    <x v="1"/>
    <n v="8338"/>
    <n v="2"/>
    <n v="4"/>
    <n v="1"/>
    <x v="2"/>
  </r>
  <r>
    <x v="15"/>
    <s v="09/04/2025"/>
    <x v="9"/>
    <x v="10"/>
    <x v="0"/>
    <x v="3"/>
    <x v="2"/>
    <x v="2"/>
    <n v="5592"/>
    <n v="4"/>
    <n v="3.7"/>
    <n v="4"/>
    <x v="2"/>
  </r>
  <r>
    <x v="16"/>
    <s v="17/02/2025"/>
    <x v="1"/>
    <x v="1"/>
    <x v="1"/>
    <x v="3"/>
    <x v="2"/>
    <x v="3"/>
    <n v="17208"/>
    <n v="4"/>
    <n v="4.8"/>
    <n v="1"/>
    <x v="7"/>
  </r>
  <r>
    <x v="17"/>
    <s v="27/05/2025"/>
    <x v="6"/>
    <x v="12"/>
    <x v="2"/>
    <x v="1"/>
    <x v="2"/>
    <x v="1"/>
    <n v="159523"/>
    <n v="7"/>
    <n v="3.6"/>
    <n v="1"/>
    <x v="0"/>
  </r>
  <r>
    <x v="18"/>
    <s v="27/10/2025"/>
    <x v="9"/>
    <x v="0"/>
    <x v="0"/>
    <x v="5"/>
    <x v="2"/>
    <x v="0"/>
    <n v="10632"/>
    <n v="8"/>
    <n v="3.3"/>
    <n v="3"/>
    <x v="1"/>
  </r>
  <r>
    <x v="19"/>
    <s v="19/10/2025"/>
    <x v="11"/>
    <x v="3"/>
    <x v="3"/>
    <x v="5"/>
    <x v="3"/>
    <x v="0"/>
    <n v="5484"/>
    <n v="4"/>
    <n v="4.4000000000000004"/>
    <n v="6"/>
    <x v="1"/>
  </r>
  <r>
    <x v="20"/>
    <s v="09/03/2025"/>
    <x v="9"/>
    <x v="12"/>
    <x v="2"/>
    <x v="5"/>
    <x v="0"/>
    <x v="1"/>
    <n v="60040"/>
    <n v="5"/>
    <n v="4.3"/>
    <n v="2"/>
    <x v="6"/>
  </r>
  <r>
    <x v="21"/>
    <s v="05/02/2025"/>
    <x v="10"/>
    <x v="13"/>
    <x v="4"/>
    <x v="2"/>
    <x v="2"/>
    <x v="0"/>
    <n v="5668"/>
    <n v="4"/>
    <n v="4.5"/>
    <n v="1"/>
    <x v="7"/>
  </r>
  <r>
    <x v="22"/>
    <s v="24/02/2025"/>
    <x v="12"/>
    <x v="14"/>
    <x v="2"/>
    <x v="3"/>
    <x v="3"/>
    <x v="2"/>
    <n v="245328"/>
    <n v="3"/>
    <n v="3.6"/>
    <n v="5"/>
    <x v="7"/>
  </r>
  <r>
    <x v="23"/>
    <s v="22/05/2025"/>
    <x v="10"/>
    <x v="15"/>
    <x v="0"/>
    <x v="1"/>
    <x v="1"/>
    <x v="2"/>
    <n v="307"/>
    <n v="1"/>
    <n v="3.5"/>
    <n v="8"/>
    <x v="0"/>
  </r>
  <r>
    <x v="24"/>
    <s v="20/12/2025"/>
    <x v="2"/>
    <x v="0"/>
    <x v="0"/>
    <x v="2"/>
    <x v="3"/>
    <x v="2"/>
    <n v="4251"/>
    <n v="3"/>
    <n v="3.5"/>
    <n v="3"/>
    <x v="8"/>
  </r>
  <r>
    <x v="25"/>
    <s v="16/12/2025"/>
    <x v="13"/>
    <x v="2"/>
    <x v="2"/>
    <x v="4"/>
    <x v="0"/>
    <x v="3"/>
    <n v="195428"/>
    <n v="4"/>
    <n v="5"/>
    <n v="3"/>
    <x v="8"/>
  </r>
  <r>
    <x v="26"/>
    <s v="20/06/2025"/>
    <x v="14"/>
    <x v="10"/>
    <x v="0"/>
    <x v="4"/>
    <x v="0"/>
    <x v="3"/>
    <n v="11697"/>
    <n v="7"/>
    <n v="3.9"/>
    <n v="1"/>
    <x v="9"/>
  </r>
  <r>
    <x v="27"/>
    <s v="27/04/2025"/>
    <x v="15"/>
    <x v="16"/>
    <x v="2"/>
    <x v="1"/>
    <x v="1"/>
    <x v="1"/>
    <n v="218908"/>
    <n v="4"/>
    <n v="4.8"/>
    <n v="5"/>
    <x v="2"/>
  </r>
  <r>
    <x v="28"/>
    <s v="14/05/2025"/>
    <x v="16"/>
    <x v="0"/>
    <x v="0"/>
    <x v="5"/>
    <x v="2"/>
    <x v="3"/>
    <n v="4467"/>
    <n v="3"/>
    <n v="4"/>
    <n v="6"/>
    <x v="0"/>
  </r>
  <r>
    <x v="29"/>
    <s v="11/05/2025"/>
    <x v="15"/>
    <x v="9"/>
    <x v="1"/>
    <x v="3"/>
    <x v="2"/>
    <x v="1"/>
    <n v="9621"/>
    <n v="1"/>
    <n v="4.4000000000000004"/>
    <n v="4"/>
    <x v="0"/>
  </r>
  <r>
    <x v="30"/>
    <s v="06/12/2025"/>
    <x v="3"/>
    <x v="6"/>
    <x v="1"/>
    <x v="5"/>
    <x v="0"/>
    <x v="0"/>
    <n v="23452"/>
    <n v="2"/>
    <n v="3.9"/>
    <n v="7"/>
    <x v="8"/>
  </r>
  <r>
    <x v="31"/>
    <s v="13/12/2025"/>
    <x v="16"/>
    <x v="11"/>
    <x v="3"/>
    <x v="5"/>
    <x v="3"/>
    <x v="3"/>
    <n v="15564"/>
    <n v="3"/>
    <n v="3.7"/>
    <n v="4"/>
    <x v="8"/>
  </r>
  <r>
    <x v="32"/>
    <s v="12/12/2025"/>
    <x v="9"/>
    <x v="11"/>
    <x v="3"/>
    <x v="4"/>
    <x v="3"/>
    <x v="0"/>
    <n v="5576"/>
    <n v="4"/>
    <n v="4.0999999999999996"/>
    <n v="6"/>
    <x v="8"/>
  </r>
  <r>
    <x v="33"/>
    <s v="13/01/2025"/>
    <x v="5"/>
    <x v="7"/>
    <x v="4"/>
    <x v="3"/>
    <x v="1"/>
    <x v="0"/>
    <n v="2196"/>
    <n v="1"/>
    <n v="3.9"/>
    <n v="4"/>
    <x v="10"/>
  </r>
  <r>
    <x v="34"/>
    <s v="24/02/2025"/>
    <x v="17"/>
    <x v="17"/>
    <x v="4"/>
    <x v="4"/>
    <x v="1"/>
    <x v="1"/>
    <n v="6790"/>
    <n v="7"/>
    <n v="4.2"/>
    <n v="2"/>
    <x v="7"/>
  </r>
  <r>
    <x v="35"/>
    <s v="08/10/2025"/>
    <x v="12"/>
    <x v="11"/>
    <x v="3"/>
    <x v="3"/>
    <x v="0"/>
    <x v="1"/>
    <n v="22584"/>
    <n v="8"/>
    <n v="4.7"/>
    <n v="5"/>
    <x v="1"/>
  </r>
  <r>
    <x v="36"/>
    <s v="27/05/2025"/>
    <x v="5"/>
    <x v="3"/>
    <x v="3"/>
    <x v="1"/>
    <x v="0"/>
    <x v="0"/>
    <n v="20496"/>
    <n v="4"/>
    <n v="3.4"/>
    <n v="4"/>
    <x v="0"/>
  </r>
  <r>
    <x v="37"/>
    <s v="28/07/2025"/>
    <x v="6"/>
    <x v="15"/>
    <x v="0"/>
    <x v="1"/>
    <x v="2"/>
    <x v="3"/>
    <n v="8466"/>
    <n v="6"/>
    <n v="4.7"/>
    <n v="7"/>
    <x v="4"/>
  </r>
  <r>
    <x v="38"/>
    <s v="30/06/2025"/>
    <x v="13"/>
    <x v="3"/>
    <x v="3"/>
    <x v="2"/>
    <x v="1"/>
    <x v="3"/>
    <n v="25865"/>
    <n v="5"/>
    <n v="4.8"/>
    <n v="8"/>
    <x v="9"/>
  </r>
  <r>
    <x v="39"/>
    <s v="22/06/2025"/>
    <x v="6"/>
    <x v="15"/>
    <x v="0"/>
    <x v="5"/>
    <x v="2"/>
    <x v="2"/>
    <n v="12481"/>
    <n v="7"/>
    <n v="4.2"/>
    <n v="7"/>
    <x v="9"/>
  </r>
  <r>
    <x v="40"/>
    <s v="25/08/2025"/>
    <x v="5"/>
    <x v="18"/>
    <x v="3"/>
    <x v="2"/>
    <x v="1"/>
    <x v="1"/>
    <n v="10143"/>
    <n v="3"/>
    <n v="4"/>
    <n v="6"/>
    <x v="3"/>
  </r>
  <r>
    <x v="41"/>
    <s v="10/01/2025"/>
    <x v="0"/>
    <x v="15"/>
    <x v="0"/>
    <x v="5"/>
    <x v="0"/>
    <x v="0"/>
    <n v="1016"/>
    <n v="1"/>
    <n v="4.9000000000000004"/>
    <n v="4"/>
    <x v="10"/>
  </r>
  <r>
    <x v="42"/>
    <s v="09/12/2025"/>
    <x v="1"/>
    <x v="5"/>
    <x v="4"/>
    <x v="2"/>
    <x v="2"/>
    <x v="2"/>
    <n v="2284"/>
    <n v="2"/>
    <n v="3.5"/>
    <n v="2"/>
    <x v="8"/>
  </r>
  <r>
    <x v="43"/>
    <s v="13/12/2025"/>
    <x v="4"/>
    <x v="19"/>
    <x v="2"/>
    <x v="0"/>
    <x v="2"/>
    <x v="1"/>
    <n v="87227"/>
    <n v="7"/>
    <n v="3.6"/>
    <n v="5"/>
    <x v="8"/>
  </r>
  <r>
    <x v="44"/>
    <s v="05/12/2025"/>
    <x v="16"/>
    <x v="8"/>
    <x v="1"/>
    <x v="2"/>
    <x v="1"/>
    <x v="0"/>
    <n v="46092"/>
    <n v="6"/>
    <n v="4.7"/>
    <n v="2"/>
    <x v="8"/>
  </r>
  <r>
    <x v="45"/>
    <s v="25/09/2025"/>
    <x v="18"/>
    <x v="18"/>
    <x v="3"/>
    <x v="4"/>
    <x v="2"/>
    <x v="1"/>
    <n v="22540"/>
    <n v="5"/>
    <n v="4.7"/>
    <n v="5"/>
    <x v="5"/>
  </r>
  <r>
    <x v="46"/>
    <s v="26/08/2025"/>
    <x v="11"/>
    <x v="18"/>
    <x v="3"/>
    <x v="2"/>
    <x v="3"/>
    <x v="1"/>
    <n v="23534"/>
    <n v="7"/>
    <n v="4.0999999999999996"/>
    <n v="6"/>
    <x v="3"/>
  </r>
  <r>
    <x v="47"/>
    <s v="22/09/2025"/>
    <x v="14"/>
    <x v="1"/>
    <x v="1"/>
    <x v="3"/>
    <x v="2"/>
    <x v="2"/>
    <n v="39584"/>
    <n v="4"/>
    <n v="4.5999999999999996"/>
    <n v="8"/>
    <x v="5"/>
  </r>
  <r>
    <x v="48"/>
    <s v="27/07/2025"/>
    <x v="15"/>
    <x v="2"/>
    <x v="2"/>
    <x v="1"/>
    <x v="1"/>
    <x v="1"/>
    <n v="258124"/>
    <n v="4"/>
    <n v="3.8"/>
    <n v="6"/>
    <x v="4"/>
  </r>
  <r>
    <x v="49"/>
    <s v="29/04/2025"/>
    <x v="19"/>
    <x v="16"/>
    <x v="2"/>
    <x v="4"/>
    <x v="1"/>
    <x v="1"/>
    <n v="87718"/>
    <n v="2"/>
    <n v="4.9000000000000004"/>
    <n v="3"/>
    <x v="2"/>
  </r>
  <r>
    <x v="50"/>
    <s v="21/02/2025"/>
    <x v="11"/>
    <x v="6"/>
    <x v="1"/>
    <x v="0"/>
    <x v="2"/>
    <x v="1"/>
    <n v="23008"/>
    <n v="4"/>
    <n v="3.2"/>
    <n v="3"/>
    <x v="7"/>
  </r>
  <r>
    <x v="51"/>
    <s v="22/02/2025"/>
    <x v="11"/>
    <x v="5"/>
    <x v="4"/>
    <x v="3"/>
    <x v="2"/>
    <x v="2"/>
    <n v="1414"/>
    <n v="1"/>
    <n v="3.8"/>
    <n v="1"/>
    <x v="7"/>
  </r>
  <r>
    <x v="52"/>
    <s v="07/02/2025"/>
    <x v="10"/>
    <x v="11"/>
    <x v="3"/>
    <x v="3"/>
    <x v="0"/>
    <x v="3"/>
    <n v="3189"/>
    <n v="1"/>
    <n v="5"/>
    <n v="2"/>
    <x v="7"/>
  </r>
  <r>
    <x v="53"/>
    <s v="02/06/2025"/>
    <x v="9"/>
    <x v="11"/>
    <x v="3"/>
    <x v="4"/>
    <x v="0"/>
    <x v="0"/>
    <n v="10584"/>
    <n v="7"/>
    <n v="4.3"/>
    <n v="5"/>
    <x v="9"/>
  </r>
  <r>
    <x v="54"/>
    <s v="22/03/2025"/>
    <x v="3"/>
    <x v="1"/>
    <x v="1"/>
    <x v="1"/>
    <x v="1"/>
    <x v="2"/>
    <n v="5571"/>
    <n v="1"/>
    <n v="3.3"/>
    <n v="5"/>
    <x v="6"/>
  </r>
  <r>
    <x v="55"/>
    <s v="17/11/2025"/>
    <x v="8"/>
    <x v="13"/>
    <x v="4"/>
    <x v="0"/>
    <x v="2"/>
    <x v="0"/>
    <n v="2880"/>
    <n v="4"/>
    <n v="3.5"/>
    <n v="5"/>
    <x v="11"/>
  </r>
  <r>
    <x v="56"/>
    <s v="19/10/2025"/>
    <x v="17"/>
    <x v="19"/>
    <x v="2"/>
    <x v="0"/>
    <x v="2"/>
    <x v="3"/>
    <n v="319665"/>
    <n v="5"/>
    <n v="4.9000000000000004"/>
    <n v="8"/>
    <x v="1"/>
  </r>
  <r>
    <x v="57"/>
    <s v="09/05/2025"/>
    <x v="6"/>
    <x v="19"/>
    <x v="2"/>
    <x v="0"/>
    <x v="0"/>
    <x v="3"/>
    <n v="77892"/>
    <n v="1"/>
    <n v="5"/>
    <n v="5"/>
    <x v="0"/>
  </r>
  <r>
    <x v="58"/>
    <s v="23/05/2025"/>
    <x v="18"/>
    <x v="8"/>
    <x v="1"/>
    <x v="1"/>
    <x v="2"/>
    <x v="0"/>
    <n v="25500"/>
    <n v="3"/>
    <n v="3.8"/>
    <n v="6"/>
    <x v="0"/>
  </r>
  <r>
    <x v="59"/>
    <s v="22/12/2025"/>
    <x v="18"/>
    <x v="12"/>
    <x v="2"/>
    <x v="0"/>
    <x v="1"/>
    <x v="2"/>
    <n v="596816"/>
    <n v="8"/>
    <n v="3.4"/>
    <n v="5"/>
    <x v="8"/>
  </r>
  <r>
    <x v="60"/>
    <s v="31/07/2025"/>
    <x v="19"/>
    <x v="8"/>
    <x v="1"/>
    <x v="2"/>
    <x v="0"/>
    <x v="1"/>
    <n v="8967"/>
    <n v="1"/>
    <n v="4.3"/>
    <n v="1"/>
    <x v="4"/>
  </r>
  <r>
    <x v="61"/>
    <s v="04/03/2025"/>
    <x v="9"/>
    <x v="11"/>
    <x v="3"/>
    <x v="4"/>
    <x v="2"/>
    <x v="3"/>
    <n v="3245"/>
    <n v="1"/>
    <n v="3.2"/>
    <n v="7"/>
    <x v="6"/>
  </r>
  <r>
    <x v="62"/>
    <s v="13/09/2025"/>
    <x v="5"/>
    <x v="10"/>
    <x v="0"/>
    <x v="4"/>
    <x v="0"/>
    <x v="2"/>
    <n v="6710"/>
    <n v="5"/>
    <n v="3.6"/>
    <n v="3"/>
    <x v="5"/>
  </r>
  <r>
    <x v="63"/>
    <s v="24/06/2025"/>
    <x v="8"/>
    <x v="12"/>
    <x v="2"/>
    <x v="3"/>
    <x v="1"/>
    <x v="1"/>
    <n v="208160"/>
    <n v="5"/>
    <n v="5"/>
    <n v="8"/>
    <x v="9"/>
  </r>
  <r>
    <x v="64"/>
    <s v="06/10/2025"/>
    <x v="2"/>
    <x v="19"/>
    <x v="2"/>
    <x v="2"/>
    <x v="1"/>
    <x v="3"/>
    <n v="190589"/>
    <n v="7"/>
    <n v="3.9"/>
    <n v="7"/>
    <x v="1"/>
  </r>
  <r>
    <x v="65"/>
    <s v="11/09/2025"/>
    <x v="7"/>
    <x v="18"/>
    <x v="3"/>
    <x v="5"/>
    <x v="1"/>
    <x v="2"/>
    <n v="3419"/>
    <n v="1"/>
    <n v="4.8"/>
    <n v="8"/>
    <x v="5"/>
  </r>
  <r>
    <x v="66"/>
    <s v="02/12/2025"/>
    <x v="18"/>
    <x v="5"/>
    <x v="4"/>
    <x v="1"/>
    <x v="1"/>
    <x v="1"/>
    <n v="6519"/>
    <n v="3"/>
    <n v="4.4000000000000004"/>
    <n v="2"/>
    <x v="8"/>
  </r>
  <r>
    <x v="67"/>
    <s v="13/11/2025"/>
    <x v="17"/>
    <x v="3"/>
    <x v="3"/>
    <x v="4"/>
    <x v="3"/>
    <x v="2"/>
    <n v="2880"/>
    <n v="2"/>
    <n v="5"/>
    <n v="2"/>
    <x v="11"/>
  </r>
  <r>
    <x v="68"/>
    <s v="29/01/2025"/>
    <x v="1"/>
    <x v="20"/>
    <x v="0"/>
    <x v="4"/>
    <x v="2"/>
    <x v="3"/>
    <n v="5170"/>
    <n v="5"/>
    <n v="4.2"/>
    <n v="3"/>
    <x v="10"/>
  </r>
  <r>
    <x v="69"/>
    <s v="12/09/2025"/>
    <x v="3"/>
    <x v="9"/>
    <x v="1"/>
    <x v="1"/>
    <x v="0"/>
    <x v="2"/>
    <n v="14949"/>
    <n v="3"/>
    <n v="4.4000000000000004"/>
    <n v="8"/>
    <x v="5"/>
  </r>
  <r>
    <x v="70"/>
    <s v="28/10/2025"/>
    <x v="14"/>
    <x v="4"/>
    <x v="3"/>
    <x v="0"/>
    <x v="0"/>
    <x v="3"/>
    <n v="22210"/>
    <n v="5"/>
    <n v="3.6"/>
    <n v="7"/>
    <x v="1"/>
  </r>
  <r>
    <x v="71"/>
    <s v="22/10/2025"/>
    <x v="4"/>
    <x v="6"/>
    <x v="1"/>
    <x v="1"/>
    <x v="1"/>
    <x v="1"/>
    <n v="26485"/>
    <n v="5"/>
    <n v="3.2"/>
    <n v="1"/>
    <x v="1"/>
  </r>
  <r>
    <x v="72"/>
    <s v="23/04/2025"/>
    <x v="3"/>
    <x v="13"/>
    <x v="4"/>
    <x v="3"/>
    <x v="2"/>
    <x v="1"/>
    <n v="5104"/>
    <n v="4"/>
    <n v="4.8"/>
    <n v="1"/>
    <x v="2"/>
  </r>
  <r>
    <x v="73"/>
    <s v="01/06/2025"/>
    <x v="12"/>
    <x v="17"/>
    <x v="4"/>
    <x v="5"/>
    <x v="3"/>
    <x v="0"/>
    <n v="5814"/>
    <n v="6"/>
    <n v="4.8"/>
    <n v="6"/>
    <x v="9"/>
  </r>
  <r>
    <x v="74"/>
    <s v="01/06/2025"/>
    <x v="10"/>
    <x v="12"/>
    <x v="2"/>
    <x v="2"/>
    <x v="2"/>
    <x v="3"/>
    <n v="74214"/>
    <n v="6"/>
    <n v="4.7"/>
    <n v="7"/>
    <x v="9"/>
  </r>
  <r>
    <x v="75"/>
    <s v="02/10/2025"/>
    <x v="7"/>
    <x v="20"/>
    <x v="0"/>
    <x v="1"/>
    <x v="0"/>
    <x v="3"/>
    <n v="2462"/>
    <n v="2"/>
    <n v="4.7"/>
    <n v="6"/>
    <x v="1"/>
  </r>
  <r>
    <x v="76"/>
    <s v="09/11/2025"/>
    <x v="2"/>
    <x v="20"/>
    <x v="0"/>
    <x v="0"/>
    <x v="3"/>
    <x v="3"/>
    <n v="6504"/>
    <n v="4"/>
    <n v="3.9"/>
    <n v="3"/>
    <x v="11"/>
  </r>
  <r>
    <x v="77"/>
    <s v="01/05/2025"/>
    <x v="16"/>
    <x v="0"/>
    <x v="0"/>
    <x v="1"/>
    <x v="2"/>
    <x v="3"/>
    <n v="3285"/>
    <n v="3"/>
    <n v="4.3"/>
    <n v="3"/>
    <x v="0"/>
  </r>
  <r>
    <x v="78"/>
    <s v="24/05/2025"/>
    <x v="7"/>
    <x v="8"/>
    <x v="1"/>
    <x v="1"/>
    <x v="3"/>
    <x v="1"/>
    <n v="8085"/>
    <n v="1"/>
    <n v="4.9000000000000004"/>
    <n v="6"/>
    <x v="0"/>
  </r>
  <r>
    <x v="79"/>
    <s v="22/05/2025"/>
    <x v="2"/>
    <x v="15"/>
    <x v="0"/>
    <x v="2"/>
    <x v="0"/>
    <x v="0"/>
    <n v="2200"/>
    <n v="4"/>
    <n v="4.4000000000000004"/>
    <n v="1"/>
    <x v="0"/>
  </r>
  <r>
    <x v="80"/>
    <s v="05/02/2025"/>
    <x v="11"/>
    <x v="9"/>
    <x v="1"/>
    <x v="4"/>
    <x v="0"/>
    <x v="1"/>
    <n v="12868"/>
    <n v="4"/>
    <n v="4.5999999999999996"/>
    <n v="1"/>
    <x v="7"/>
  </r>
  <r>
    <x v="81"/>
    <s v="05/12/2025"/>
    <x v="11"/>
    <x v="17"/>
    <x v="4"/>
    <x v="0"/>
    <x v="0"/>
    <x v="3"/>
    <n v="310"/>
    <n v="1"/>
    <n v="3.8"/>
    <n v="3"/>
    <x v="8"/>
  </r>
  <r>
    <x v="82"/>
    <s v="02/02/2025"/>
    <x v="4"/>
    <x v="1"/>
    <x v="1"/>
    <x v="0"/>
    <x v="3"/>
    <x v="3"/>
    <n v="20688"/>
    <n v="8"/>
    <n v="4"/>
    <n v="4"/>
    <x v="7"/>
  </r>
  <r>
    <x v="83"/>
    <s v="03/09/2025"/>
    <x v="4"/>
    <x v="0"/>
    <x v="0"/>
    <x v="4"/>
    <x v="2"/>
    <x v="0"/>
    <n v="8211"/>
    <n v="7"/>
    <n v="4.8"/>
    <n v="6"/>
    <x v="5"/>
  </r>
  <r>
    <x v="84"/>
    <s v="21/11/2025"/>
    <x v="7"/>
    <x v="19"/>
    <x v="2"/>
    <x v="1"/>
    <x v="0"/>
    <x v="3"/>
    <n v="246912"/>
    <n v="6"/>
    <n v="4.3"/>
    <n v="2"/>
    <x v="11"/>
  </r>
  <r>
    <x v="85"/>
    <s v="31/07/2025"/>
    <x v="15"/>
    <x v="18"/>
    <x v="3"/>
    <x v="4"/>
    <x v="1"/>
    <x v="2"/>
    <n v="8868"/>
    <n v="6"/>
    <n v="4"/>
    <n v="5"/>
    <x v="4"/>
  </r>
  <r>
    <x v="86"/>
    <s v="17/02/2025"/>
    <x v="7"/>
    <x v="0"/>
    <x v="0"/>
    <x v="3"/>
    <x v="3"/>
    <x v="3"/>
    <n v="3479"/>
    <n v="7"/>
    <n v="4.3"/>
    <n v="6"/>
    <x v="7"/>
  </r>
  <r>
    <x v="87"/>
    <s v="04/11/2025"/>
    <x v="13"/>
    <x v="20"/>
    <x v="0"/>
    <x v="0"/>
    <x v="3"/>
    <x v="1"/>
    <n v="5100"/>
    <n v="5"/>
    <n v="3.5"/>
    <n v="8"/>
    <x v="11"/>
  </r>
  <r>
    <x v="88"/>
    <s v="21/10/2025"/>
    <x v="18"/>
    <x v="20"/>
    <x v="0"/>
    <x v="2"/>
    <x v="2"/>
    <x v="0"/>
    <n v="4712"/>
    <n v="4"/>
    <n v="3.5"/>
    <n v="5"/>
    <x v="1"/>
  </r>
  <r>
    <x v="89"/>
    <s v="05/02/2025"/>
    <x v="18"/>
    <x v="5"/>
    <x v="4"/>
    <x v="4"/>
    <x v="3"/>
    <x v="1"/>
    <n v="1125"/>
    <n v="3"/>
    <n v="3.9"/>
    <n v="8"/>
    <x v="7"/>
  </r>
  <r>
    <x v="90"/>
    <s v="02/11/2025"/>
    <x v="17"/>
    <x v="19"/>
    <x v="2"/>
    <x v="1"/>
    <x v="1"/>
    <x v="3"/>
    <n v="46264"/>
    <n v="2"/>
    <n v="4.4000000000000004"/>
    <n v="5"/>
    <x v="11"/>
  </r>
  <r>
    <x v="91"/>
    <s v="01/08/2025"/>
    <x v="12"/>
    <x v="8"/>
    <x v="1"/>
    <x v="1"/>
    <x v="3"/>
    <x v="2"/>
    <n v="39215"/>
    <n v="5"/>
    <n v="3.4"/>
    <n v="8"/>
    <x v="3"/>
  </r>
  <r>
    <x v="92"/>
    <s v="03/11/2025"/>
    <x v="18"/>
    <x v="5"/>
    <x v="4"/>
    <x v="0"/>
    <x v="2"/>
    <x v="3"/>
    <n v="1087"/>
    <n v="1"/>
    <n v="4.5999999999999996"/>
    <n v="5"/>
    <x v="11"/>
  </r>
  <r>
    <x v="93"/>
    <s v="08/03/2025"/>
    <x v="5"/>
    <x v="18"/>
    <x v="3"/>
    <x v="1"/>
    <x v="2"/>
    <x v="3"/>
    <n v="36939"/>
    <n v="7"/>
    <n v="4.7"/>
    <n v="2"/>
    <x v="6"/>
  </r>
  <r>
    <x v="94"/>
    <s v="09/02/2025"/>
    <x v="5"/>
    <x v="15"/>
    <x v="0"/>
    <x v="0"/>
    <x v="3"/>
    <x v="0"/>
    <n v="8874"/>
    <n v="6"/>
    <n v="4"/>
    <n v="2"/>
    <x v="7"/>
  </r>
  <r>
    <x v="95"/>
    <s v="20/12/2025"/>
    <x v="5"/>
    <x v="8"/>
    <x v="1"/>
    <x v="2"/>
    <x v="3"/>
    <x v="0"/>
    <n v="47628"/>
    <n v="6"/>
    <n v="4.3"/>
    <n v="2"/>
    <x v="8"/>
  </r>
  <r>
    <x v="96"/>
    <s v="09/02/2025"/>
    <x v="13"/>
    <x v="2"/>
    <x v="2"/>
    <x v="0"/>
    <x v="0"/>
    <x v="1"/>
    <n v="55830"/>
    <n v="2"/>
    <n v="4.5"/>
    <n v="3"/>
    <x v="7"/>
  </r>
  <r>
    <x v="97"/>
    <s v="05/11/2025"/>
    <x v="6"/>
    <x v="7"/>
    <x v="4"/>
    <x v="1"/>
    <x v="3"/>
    <x v="1"/>
    <n v="1674"/>
    <n v="3"/>
    <n v="4"/>
    <n v="8"/>
    <x v="11"/>
  </r>
  <r>
    <x v="98"/>
    <s v="04/02/2025"/>
    <x v="3"/>
    <x v="5"/>
    <x v="4"/>
    <x v="3"/>
    <x v="1"/>
    <x v="2"/>
    <n v="11920"/>
    <n v="8"/>
    <n v="3.8"/>
    <n v="2"/>
    <x v="7"/>
  </r>
  <r>
    <x v="99"/>
    <s v="27/05/2025"/>
    <x v="17"/>
    <x v="20"/>
    <x v="0"/>
    <x v="5"/>
    <x v="0"/>
    <x v="1"/>
    <n v="3240"/>
    <n v="2"/>
    <n v="3.9"/>
    <n v="1"/>
    <x v="0"/>
  </r>
  <r>
    <x v="100"/>
    <s v="14/09/2025"/>
    <x v="2"/>
    <x v="8"/>
    <x v="1"/>
    <x v="4"/>
    <x v="1"/>
    <x v="3"/>
    <n v="6543"/>
    <n v="3"/>
    <n v="4.0999999999999996"/>
    <n v="3"/>
    <x v="5"/>
  </r>
  <r>
    <x v="101"/>
    <s v="06/07/2025"/>
    <x v="9"/>
    <x v="9"/>
    <x v="1"/>
    <x v="2"/>
    <x v="2"/>
    <x v="3"/>
    <n v="71538"/>
    <n v="6"/>
    <n v="4.3"/>
    <n v="6"/>
    <x v="4"/>
  </r>
  <r>
    <x v="102"/>
    <s v="03/12/2025"/>
    <x v="8"/>
    <x v="16"/>
    <x v="2"/>
    <x v="5"/>
    <x v="2"/>
    <x v="1"/>
    <n v="236640"/>
    <n v="3"/>
    <n v="3.8"/>
    <n v="7"/>
    <x v="8"/>
  </r>
  <r>
    <x v="103"/>
    <s v="26/11/2025"/>
    <x v="0"/>
    <x v="8"/>
    <x v="1"/>
    <x v="2"/>
    <x v="3"/>
    <x v="0"/>
    <n v="70704"/>
    <n v="6"/>
    <n v="4"/>
    <n v="6"/>
    <x v="11"/>
  </r>
  <r>
    <x v="104"/>
    <s v="06/09/2025"/>
    <x v="12"/>
    <x v="13"/>
    <x v="4"/>
    <x v="5"/>
    <x v="2"/>
    <x v="1"/>
    <n v="3252"/>
    <n v="4"/>
    <n v="4.7"/>
    <n v="2"/>
    <x v="5"/>
  </r>
  <r>
    <x v="105"/>
    <s v="02/11/2025"/>
    <x v="16"/>
    <x v="9"/>
    <x v="1"/>
    <x v="2"/>
    <x v="0"/>
    <x v="3"/>
    <n v="24584"/>
    <n v="7"/>
    <n v="4.5"/>
    <n v="1"/>
    <x v="11"/>
  </r>
  <r>
    <x v="106"/>
    <s v="18/08/2025"/>
    <x v="17"/>
    <x v="6"/>
    <x v="1"/>
    <x v="2"/>
    <x v="1"/>
    <x v="3"/>
    <n v="15912"/>
    <n v="4"/>
    <n v="3.9"/>
    <n v="8"/>
    <x v="3"/>
  </r>
  <r>
    <x v="107"/>
    <s v="06/11/2025"/>
    <x v="3"/>
    <x v="7"/>
    <x v="4"/>
    <x v="0"/>
    <x v="0"/>
    <x v="1"/>
    <n v="1389"/>
    <n v="3"/>
    <n v="4.9000000000000004"/>
    <n v="2"/>
    <x v="11"/>
  </r>
  <r>
    <x v="108"/>
    <s v="12/08/2025"/>
    <x v="13"/>
    <x v="18"/>
    <x v="3"/>
    <x v="3"/>
    <x v="2"/>
    <x v="1"/>
    <n v="1836"/>
    <n v="2"/>
    <n v="3.3"/>
    <n v="6"/>
    <x v="3"/>
  </r>
  <r>
    <x v="109"/>
    <s v="13/06/2025"/>
    <x v="8"/>
    <x v="17"/>
    <x v="4"/>
    <x v="1"/>
    <x v="1"/>
    <x v="3"/>
    <n v="3246"/>
    <n v="2"/>
    <n v="3.7"/>
    <n v="8"/>
    <x v="9"/>
  </r>
  <r>
    <x v="110"/>
    <s v="10/02/2025"/>
    <x v="3"/>
    <x v="1"/>
    <x v="1"/>
    <x v="4"/>
    <x v="3"/>
    <x v="2"/>
    <n v="10775"/>
    <n v="1"/>
    <n v="4.0999999999999996"/>
    <n v="2"/>
    <x v="7"/>
  </r>
  <r>
    <x v="111"/>
    <s v="03/08/2025"/>
    <x v="8"/>
    <x v="10"/>
    <x v="0"/>
    <x v="2"/>
    <x v="1"/>
    <x v="2"/>
    <n v="3424"/>
    <n v="8"/>
    <n v="3.2"/>
    <n v="4"/>
    <x v="3"/>
  </r>
  <r>
    <x v="112"/>
    <s v="04/05/2025"/>
    <x v="5"/>
    <x v="6"/>
    <x v="1"/>
    <x v="3"/>
    <x v="2"/>
    <x v="3"/>
    <n v="13356"/>
    <n v="7"/>
    <n v="4.9000000000000004"/>
    <n v="1"/>
    <x v="0"/>
  </r>
  <r>
    <x v="113"/>
    <s v="09/01/2025"/>
    <x v="8"/>
    <x v="16"/>
    <x v="2"/>
    <x v="0"/>
    <x v="3"/>
    <x v="1"/>
    <n v="204624"/>
    <n v="6"/>
    <n v="4.5999999999999996"/>
    <n v="6"/>
    <x v="10"/>
  </r>
  <r>
    <x v="114"/>
    <s v="23/12/2025"/>
    <x v="2"/>
    <x v="5"/>
    <x v="4"/>
    <x v="4"/>
    <x v="2"/>
    <x v="1"/>
    <n v="7968"/>
    <n v="8"/>
    <n v="3.3"/>
    <n v="4"/>
    <x v="8"/>
  </r>
  <r>
    <x v="115"/>
    <s v="23/07/2025"/>
    <x v="18"/>
    <x v="19"/>
    <x v="2"/>
    <x v="2"/>
    <x v="2"/>
    <x v="1"/>
    <n v="220384"/>
    <n v="8"/>
    <n v="4.8"/>
    <n v="1"/>
    <x v="4"/>
  </r>
  <r>
    <x v="116"/>
    <s v="14/08/2025"/>
    <x v="9"/>
    <x v="11"/>
    <x v="3"/>
    <x v="1"/>
    <x v="1"/>
    <x v="2"/>
    <n v="33425"/>
    <n v="7"/>
    <n v="4.9000000000000004"/>
    <n v="5"/>
    <x v="3"/>
  </r>
  <r>
    <x v="117"/>
    <s v="07/10/2025"/>
    <x v="4"/>
    <x v="18"/>
    <x v="3"/>
    <x v="1"/>
    <x v="1"/>
    <x v="0"/>
    <n v="16930"/>
    <n v="5"/>
    <n v="3.7"/>
    <n v="8"/>
    <x v="1"/>
  </r>
  <r>
    <x v="118"/>
    <s v="17/08/2025"/>
    <x v="9"/>
    <x v="4"/>
    <x v="3"/>
    <x v="1"/>
    <x v="1"/>
    <x v="1"/>
    <n v="4263"/>
    <n v="1"/>
    <n v="4.4000000000000004"/>
    <n v="1"/>
    <x v="3"/>
  </r>
  <r>
    <x v="119"/>
    <s v="16/01/2025"/>
    <x v="15"/>
    <x v="9"/>
    <x v="1"/>
    <x v="3"/>
    <x v="2"/>
    <x v="0"/>
    <n v="5703"/>
    <n v="3"/>
    <n v="3.6"/>
    <n v="6"/>
    <x v="10"/>
  </r>
  <r>
    <x v="120"/>
    <s v="10/07/2025"/>
    <x v="13"/>
    <x v="4"/>
    <x v="3"/>
    <x v="0"/>
    <x v="2"/>
    <x v="0"/>
    <n v="29648"/>
    <n v="8"/>
    <n v="3.8"/>
    <n v="5"/>
    <x v="4"/>
  </r>
  <r>
    <x v="121"/>
    <s v="15/10/2025"/>
    <x v="19"/>
    <x v="11"/>
    <x v="3"/>
    <x v="0"/>
    <x v="0"/>
    <x v="2"/>
    <n v="4914"/>
    <n v="2"/>
    <n v="3.7"/>
    <n v="8"/>
    <x v="1"/>
  </r>
  <r>
    <x v="122"/>
    <s v="16/08/2025"/>
    <x v="1"/>
    <x v="18"/>
    <x v="3"/>
    <x v="1"/>
    <x v="0"/>
    <x v="1"/>
    <n v="2462"/>
    <n v="2"/>
    <n v="4.2"/>
    <n v="5"/>
    <x v="3"/>
  </r>
  <r>
    <x v="123"/>
    <s v="04/03/2025"/>
    <x v="17"/>
    <x v="9"/>
    <x v="1"/>
    <x v="5"/>
    <x v="0"/>
    <x v="2"/>
    <n v="26848"/>
    <n v="4"/>
    <n v="4.2"/>
    <n v="6"/>
    <x v="6"/>
  </r>
  <r>
    <x v="124"/>
    <s v="23/07/2025"/>
    <x v="9"/>
    <x v="20"/>
    <x v="0"/>
    <x v="3"/>
    <x v="1"/>
    <x v="1"/>
    <n v="11008"/>
    <n v="8"/>
    <n v="3.4"/>
    <n v="6"/>
    <x v="4"/>
  </r>
  <r>
    <x v="125"/>
    <s v="08/03/2025"/>
    <x v="18"/>
    <x v="7"/>
    <x v="4"/>
    <x v="1"/>
    <x v="0"/>
    <x v="1"/>
    <n v="3332"/>
    <n v="7"/>
    <n v="3.7"/>
    <n v="3"/>
    <x v="6"/>
  </r>
  <r>
    <x v="126"/>
    <s v="10/02/2025"/>
    <x v="12"/>
    <x v="6"/>
    <x v="1"/>
    <x v="1"/>
    <x v="0"/>
    <x v="0"/>
    <n v="28805"/>
    <n v="5"/>
    <n v="4.3"/>
    <n v="2"/>
    <x v="7"/>
  </r>
  <r>
    <x v="127"/>
    <s v="16/10/2025"/>
    <x v="6"/>
    <x v="13"/>
    <x v="4"/>
    <x v="3"/>
    <x v="2"/>
    <x v="3"/>
    <n v="582"/>
    <n v="1"/>
    <n v="3.7"/>
    <n v="4"/>
    <x v="1"/>
  </r>
  <r>
    <x v="128"/>
    <s v="25/11/2025"/>
    <x v="1"/>
    <x v="6"/>
    <x v="1"/>
    <x v="3"/>
    <x v="1"/>
    <x v="3"/>
    <n v="41150"/>
    <n v="5"/>
    <n v="3.3"/>
    <n v="1"/>
    <x v="11"/>
  </r>
  <r>
    <x v="129"/>
    <s v="24/06/2025"/>
    <x v="18"/>
    <x v="18"/>
    <x v="3"/>
    <x v="4"/>
    <x v="1"/>
    <x v="2"/>
    <n v="11898"/>
    <n v="3"/>
    <n v="4.5999999999999996"/>
    <n v="2"/>
    <x v="9"/>
  </r>
  <r>
    <x v="130"/>
    <s v="07/05/2025"/>
    <x v="18"/>
    <x v="12"/>
    <x v="2"/>
    <x v="5"/>
    <x v="3"/>
    <x v="0"/>
    <n v="121614"/>
    <n v="3"/>
    <n v="4"/>
    <n v="3"/>
    <x v="0"/>
  </r>
  <r>
    <x v="131"/>
    <s v="21/09/2025"/>
    <x v="13"/>
    <x v="5"/>
    <x v="4"/>
    <x v="4"/>
    <x v="3"/>
    <x v="2"/>
    <n v="12104"/>
    <n v="8"/>
    <n v="4.9000000000000004"/>
    <n v="8"/>
    <x v="5"/>
  </r>
  <r>
    <x v="132"/>
    <s v="11/09/2025"/>
    <x v="15"/>
    <x v="20"/>
    <x v="0"/>
    <x v="3"/>
    <x v="3"/>
    <x v="2"/>
    <n v="7080"/>
    <n v="8"/>
    <n v="3.4"/>
    <n v="5"/>
    <x v="5"/>
  </r>
  <r>
    <x v="133"/>
    <s v="19/10/2025"/>
    <x v="4"/>
    <x v="3"/>
    <x v="3"/>
    <x v="1"/>
    <x v="2"/>
    <x v="0"/>
    <n v="15456"/>
    <n v="4"/>
    <n v="4"/>
    <n v="5"/>
    <x v="1"/>
  </r>
  <r>
    <x v="134"/>
    <s v="11/07/2025"/>
    <x v="2"/>
    <x v="15"/>
    <x v="0"/>
    <x v="0"/>
    <x v="0"/>
    <x v="1"/>
    <n v="8652"/>
    <n v="6"/>
    <n v="4.0999999999999996"/>
    <n v="1"/>
    <x v="4"/>
  </r>
  <r>
    <x v="135"/>
    <s v="18/03/2025"/>
    <x v="6"/>
    <x v="11"/>
    <x v="3"/>
    <x v="2"/>
    <x v="1"/>
    <x v="1"/>
    <n v="11757"/>
    <n v="3"/>
    <n v="4.5"/>
    <n v="5"/>
    <x v="6"/>
  </r>
  <r>
    <x v="136"/>
    <s v="08/07/2025"/>
    <x v="4"/>
    <x v="3"/>
    <x v="3"/>
    <x v="3"/>
    <x v="3"/>
    <x v="0"/>
    <n v="32886"/>
    <n v="6"/>
    <n v="4.5999999999999996"/>
    <n v="1"/>
    <x v="4"/>
  </r>
  <r>
    <x v="137"/>
    <s v="29/03/2025"/>
    <x v="18"/>
    <x v="15"/>
    <x v="0"/>
    <x v="3"/>
    <x v="0"/>
    <x v="3"/>
    <n v="4214"/>
    <n v="7"/>
    <n v="3.5"/>
    <n v="8"/>
    <x v="6"/>
  </r>
  <r>
    <x v="138"/>
    <s v="14/09/2025"/>
    <x v="12"/>
    <x v="5"/>
    <x v="4"/>
    <x v="3"/>
    <x v="3"/>
    <x v="0"/>
    <n v="4040"/>
    <n v="8"/>
    <n v="4.2"/>
    <n v="8"/>
    <x v="5"/>
  </r>
  <r>
    <x v="139"/>
    <s v="07/10/2025"/>
    <x v="10"/>
    <x v="4"/>
    <x v="3"/>
    <x v="2"/>
    <x v="0"/>
    <x v="1"/>
    <n v="27996"/>
    <n v="6"/>
    <n v="4.9000000000000004"/>
    <n v="5"/>
    <x v="1"/>
  </r>
  <r>
    <x v="140"/>
    <s v="20/12/2025"/>
    <x v="5"/>
    <x v="2"/>
    <x v="2"/>
    <x v="2"/>
    <x v="0"/>
    <x v="1"/>
    <n v="385744"/>
    <n v="8"/>
    <n v="3.7"/>
    <n v="7"/>
    <x v="8"/>
  </r>
  <r>
    <x v="141"/>
    <s v="10/02/2025"/>
    <x v="10"/>
    <x v="20"/>
    <x v="0"/>
    <x v="1"/>
    <x v="3"/>
    <x v="0"/>
    <n v="7230"/>
    <n v="6"/>
    <n v="4.7"/>
    <n v="5"/>
    <x v="7"/>
  </r>
  <r>
    <x v="142"/>
    <s v="05/05/2025"/>
    <x v="18"/>
    <x v="10"/>
    <x v="0"/>
    <x v="1"/>
    <x v="1"/>
    <x v="2"/>
    <n v="1671"/>
    <n v="1"/>
    <n v="3.3"/>
    <n v="7"/>
    <x v="0"/>
  </r>
  <r>
    <x v="143"/>
    <s v="09/10/2025"/>
    <x v="9"/>
    <x v="17"/>
    <x v="4"/>
    <x v="1"/>
    <x v="0"/>
    <x v="2"/>
    <n v="6594"/>
    <n v="3"/>
    <n v="3.8"/>
    <n v="1"/>
    <x v="1"/>
  </r>
  <r>
    <x v="144"/>
    <s v="01/04/2025"/>
    <x v="18"/>
    <x v="5"/>
    <x v="4"/>
    <x v="2"/>
    <x v="1"/>
    <x v="3"/>
    <n v="2279"/>
    <n v="1"/>
    <n v="3.2"/>
    <n v="2"/>
    <x v="2"/>
  </r>
  <r>
    <x v="145"/>
    <s v="20/05/2025"/>
    <x v="0"/>
    <x v="5"/>
    <x v="4"/>
    <x v="1"/>
    <x v="3"/>
    <x v="1"/>
    <n v="6416"/>
    <n v="4"/>
    <n v="3.7"/>
    <n v="3"/>
    <x v="0"/>
  </r>
  <r>
    <x v="146"/>
    <s v="31/03/2025"/>
    <x v="8"/>
    <x v="9"/>
    <x v="1"/>
    <x v="3"/>
    <x v="3"/>
    <x v="0"/>
    <n v="51569"/>
    <n v="7"/>
    <n v="4.4000000000000004"/>
    <n v="3"/>
    <x v="6"/>
  </r>
  <r>
    <x v="147"/>
    <s v="16/07/2025"/>
    <x v="11"/>
    <x v="20"/>
    <x v="0"/>
    <x v="1"/>
    <x v="3"/>
    <x v="0"/>
    <n v="4856"/>
    <n v="4"/>
    <n v="4.5"/>
    <n v="1"/>
    <x v="4"/>
  </r>
  <r>
    <x v="148"/>
    <s v="27/08/2025"/>
    <x v="15"/>
    <x v="0"/>
    <x v="0"/>
    <x v="5"/>
    <x v="0"/>
    <x v="0"/>
    <n v="3135"/>
    <n v="5"/>
    <n v="4.3"/>
    <n v="5"/>
    <x v="3"/>
  </r>
  <r>
    <x v="149"/>
    <s v="20/03/2025"/>
    <x v="13"/>
    <x v="5"/>
    <x v="4"/>
    <x v="1"/>
    <x v="2"/>
    <x v="3"/>
    <n v="14240"/>
    <n v="8"/>
    <n v="4.5999999999999996"/>
    <n v="4"/>
    <x v="6"/>
  </r>
  <r>
    <x v="150"/>
    <s v="09/02/2025"/>
    <x v="18"/>
    <x v="6"/>
    <x v="1"/>
    <x v="5"/>
    <x v="1"/>
    <x v="2"/>
    <n v="20366"/>
    <n v="2"/>
    <n v="4.2"/>
    <n v="3"/>
    <x v="7"/>
  </r>
  <r>
    <x v="151"/>
    <s v="16/02/2025"/>
    <x v="10"/>
    <x v="5"/>
    <x v="4"/>
    <x v="3"/>
    <x v="3"/>
    <x v="2"/>
    <n v="16856"/>
    <n v="8"/>
    <n v="4"/>
    <n v="1"/>
    <x v="7"/>
  </r>
  <r>
    <x v="152"/>
    <s v="02/01/2025"/>
    <x v="9"/>
    <x v="4"/>
    <x v="3"/>
    <x v="3"/>
    <x v="2"/>
    <x v="1"/>
    <n v="16680"/>
    <n v="4"/>
    <n v="4.5"/>
    <n v="1"/>
    <x v="10"/>
  </r>
  <r>
    <x v="153"/>
    <s v="11/03/2025"/>
    <x v="15"/>
    <x v="18"/>
    <x v="3"/>
    <x v="0"/>
    <x v="0"/>
    <x v="3"/>
    <n v="26544"/>
    <n v="7"/>
    <n v="3.3"/>
    <n v="3"/>
    <x v="6"/>
  </r>
  <r>
    <x v="154"/>
    <s v="25/04/2025"/>
    <x v="13"/>
    <x v="9"/>
    <x v="1"/>
    <x v="3"/>
    <x v="3"/>
    <x v="0"/>
    <n v="7748"/>
    <n v="1"/>
    <n v="4.2"/>
    <n v="4"/>
    <x v="2"/>
  </r>
  <r>
    <x v="155"/>
    <s v="27/02/2025"/>
    <x v="4"/>
    <x v="2"/>
    <x v="2"/>
    <x v="0"/>
    <x v="1"/>
    <x v="2"/>
    <n v="83099"/>
    <n v="1"/>
    <n v="3.6"/>
    <n v="2"/>
    <x v="7"/>
  </r>
  <r>
    <x v="156"/>
    <s v="25/07/2025"/>
    <x v="13"/>
    <x v="17"/>
    <x v="4"/>
    <x v="1"/>
    <x v="3"/>
    <x v="1"/>
    <n v="19680"/>
    <n v="8"/>
    <n v="4.0999999999999996"/>
    <n v="5"/>
    <x v="4"/>
  </r>
  <r>
    <x v="157"/>
    <s v="15/03/2025"/>
    <x v="16"/>
    <x v="13"/>
    <x v="4"/>
    <x v="5"/>
    <x v="1"/>
    <x v="2"/>
    <n v="5920"/>
    <n v="4"/>
    <n v="4.9000000000000004"/>
    <n v="3"/>
    <x v="6"/>
  </r>
  <r>
    <x v="158"/>
    <s v="26/09/2025"/>
    <x v="13"/>
    <x v="12"/>
    <x v="2"/>
    <x v="4"/>
    <x v="3"/>
    <x v="0"/>
    <n v="336066"/>
    <n v="6"/>
    <n v="3.9"/>
    <n v="8"/>
    <x v="5"/>
  </r>
  <r>
    <x v="159"/>
    <s v="15/10/2025"/>
    <x v="9"/>
    <x v="3"/>
    <x v="3"/>
    <x v="3"/>
    <x v="3"/>
    <x v="2"/>
    <n v="27167"/>
    <n v="7"/>
    <n v="3.7"/>
    <n v="6"/>
    <x v="1"/>
  </r>
  <r>
    <x v="160"/>
    <s v="27/01/2025"/>
    <x v="14"/>
    <x v="9"/>
    <x v="1"/>
    <x v="4"/>
    <x v="3"/>
    <x v="1"/>
    <n v="52130"/>
    <n v="5"/>
    <n v="4.5"/>
    <n v="4"/>
    <x v="10"/>
  </r>
  <r>
    <x v="161"/>
    <s v="08/04/2025"/>
    <x v="3"/>
    <x v="10"/>
    <x v="0"/>
    <x v="3"/>
    <x v="1"/>
    <x v="1"/>
    <n v="2560"/>
    <n v="2"/>
    <n v="4.8"/>
    <n v="6"/>
    <x v="2"/>
  </r>
  <r>
    <x v="162"/>
    <s v="04/07/2025"/>
    <x v="2"/>
    <x v="16"/>
    <x v="2"/>
    <x v="5"/>
    <x v="0"/>
    <x v="0"/>
    <n v="512296"/>
    <n v="8"/>
    <n v="3.9"/>
    <n v="7"/>
    <x v="4"/>
  </r>
  <r>
    <x v="163"/>
    <s v="11/10/2025"/>
    <x v="14"/>
    <x v="20"/>
    <x v="0"/>
    <x v="5"/>
    <x v="3"/>
    <x v="1"/>
    <n v="6328"/>
    <n v="7"/>
    <n v="3.9"/>
    <n v="4"/>
    <x v="1"/>
  </r>
  <r>
    <x v="164"/>
    <s v="24/08/2025"/>
    <x v="12"/>
    <x v="11"/>
    <x v="3"/>
    <x v="0"/>
    <x v="2"/>
    <x v="2"/>
    <n v="5538"/>
    <n v="3"/>
    <n v="4.0999999999999996"/>
    <n v="1"/>
    <x v="3"/>
  </r>
  <r>
    <x v="165"/>
    <s v="12/03/2025"/>
    <x v="4"/>
    <x v="15"/>
    <x v="0"/>
    <x v="1"/>
    <x v="1"/>
    <x v="3"/>
    <n v="1756"/>
    <n v="4"/>
    <n v="4"/>
    <n v="1"/>
    <x v="6"/>
  </r>
  <r>
    <x v="166"/>
    <s v="30/09/2025"/>
    <x v="12"/>
    <x v="0"/>
    <x v="0"/>
    <x v="1"/>
    <x v="1"/>
    <x v="0"/>
    <n v="2268"/>
    <n v="7"/>
    <n v="5"/>
    <n v="1"/>
    <x v="5"/>
  </r>
  <r>
    <x v="167"/>
    <s v="26/09/2025"/>
    <x v="5"/>
    <x v="0"/>
    <x v="0"/>
    <x v="0"/>
    <x v="3"/>
    <x v="3"/>
    <n v="2379"/>
    <n v="3"/>
    <n v="4.7"/>
    <n v="5"/>
    <x v="5"/>
  </r>
  <r>
    <x v="168"/>
    <s v="23/12/2025"/>
    <x v="2"/>
    <x v="18"/>
    <x v="3"/>
    <x v="1"/>
    <x v="2"/>
    <x v="0"/>
    <n v="5860"/>
    <n v="4"/>
    <n v="3.9"/>
    <n v="8"/>
    <x v="8"/>
  </r>
  <r>
    <x v="169"/>
    <s v="11/08/2025"/>
    <x v="11"/>
    <x v="15"/>
    <x v="0"/>
    <x v="0"/>
    <x v="2"/>
    <x v="1"/>
    <n v="8748"/>
    <n v="6"/>
    <n v="3.6"/>
    <n v="8"/>
    <x v="3"/>
  </r>
  <r>
    <x v="170"/>
    <s v="02/04/2025"/>
    <x v="1"/>
    <x v="1"/>
    <x v="1"/>
    <x v="5"/>
    <x v="0"/>
    <x v="3"/>
    <n v="43950"/>
    <n v="6"/>
    <n v="4.9000000000000004"/>
    <n v="5"/>
    <x v="2"/>
  </r>
  <r>
    <x v="171"/>
    <s v="16/07/2025"/>
    <x v="9"/>
    <x v="6"/>
    <x v="1"/>
    <x v="2"/>
    <x v="1"/>
    <x v="1"/>
    <n v="5037"/>
    <n v="3"/>
    <n v="3.4"/>
    <n v="4"/>
    <x v="4"/>
  </r>
  <r>
    <x v="172"/>
    <s v="19/08/2025"/>
    <x v="9"/>
    <x v="20"/>
    <x v="0"/>
    <x v="5"/>
    <x v="3"/>
    <x v="0"/>
    <n v="6136"/>
    <n v="8"/>
    <n v="3.5"/>
    <n v="7"/>
    <x v="3"/>
  </r>
  <r>
    <x v="173"/>
    <s v="18/05/2025"/>
    <x v="3"/>
    <x v="0"/>
    <x v="0"/>
    <x v="3"/>
    <x v="3"/>
    <x v="1"/>
    <n v="3234"/>
    <n v="3"/>
    <n v="3.4"/>
    <n v="1"/>
    <x v="0"/>
  </r>
  <r>
    <x v="174"/>
    <s v="14/02/2025"/>
    <x v="9"/>
    <x v="10"/>
    <x v="0"/>
    <x v="2"/>
    <x v="2"/>
    <x v="1"/>
    <n v="3546"/>
    <n v="3"/>
    <n v="3.9"/>
    <n v="1"/>
    <x v="7"/>
  </r>
  <r>
    <x v="175"/>
    <s v="30/05/2025"/>
    <x v="1"/>
    <x v="3"/>
    <x v="3"/>
    <x v="4"/>
    <x v="3"/>
    <x v="1"/>
    <n v="18816"/>
    <n v="7"/>
    <n v="4.0999999999999996"/>
    <n v="7"/>
    <x v="0"/>
  </r>
  <r>
    <x v="176"/>
    <s v="16/03/2025"/>
    <x v="15"/>
    <x v="12"/>
    <x v="2"/>
    <x v="2"/>
    <x v="0"/>
    <x v="3"/>
    <n v="77340"/>
    <n v="2"/>
    <n v="4.0999999999999996"/>
    <n v="2"/>
    <x v="6"/>
  </r>
  <r>
    <x v="177"/>
    <s v="23/08/2025"/>
    <x v="18"/>
    <x v="9"/>
    <x v="1"/>
    <x v="3"/>
    <x v="3"/>
    <x v="3"/>
    <n v="12486"/>
    <n v="2"/>
    <n v="4.7"/>
    <n v="7"/>
    <x v="3"/>
  </r>
  <r>
    <x v="178"/>
    <s v="03/06/2025"/>
    <x v="3"/>
    <x v="9"/>
    <x v="1"/>
    <x v="1"/>
    <x v="1"/>
    <x v="0"/>
    <n v="22260"/>
    <n v="6"/>
    <n v="4.9000000000000004"/>
    <n v="6"/>
    <x v="9"/>
  </r>
  <r>
    <x v="179"/>
    <s v="24/05/2025"/>
    <x v="10"/>
    <x v="12"/>
    <x v="2"/>
    <x v="0"/>
    <x v="1"/>
    <x v="0"/>
    <n v="534835"/>
    <n v="7"/>
    <n v="5"/>
    <n v="3"/>
    <x v="0"/>
  </r>
  <r>
    <x v="180"/>
    <s v="21/12/2025"/>
    <x v="16"/>
    <x v="4"/>
    <x v="3"/>
    <x v="3"/>
    <x v="2"/>
    <x v="3"/>
    <n v="11776"/>
    <n v="2"/>
    <n v="3.6"/>
    <n v="3"/>
    <x v="8"/>
  </r>
  <r>
    <x v="181"/>
    <s v="26/10/2025"/>
    <x v="10"/>
    <x v="8"/>
    <x v="1"/>
    <x v="5"/>
    <x v="2"/>
    <x v="2"/>
    <n v="9814"/>
    <n v="7"/>
    <n v="4.5999999999999996"/>
    <n v="6"/>
    <x v="1"/>
  </r>
  <r>
    <x v="182"/>
    <s v="27/03/2025"/>
    <x v="13"/>
    <x v="13"/>
    <x v="4"/>
    <x v="5"/>
    <x v="0"/>
    <x v="3"/>
    <n v="1886"/>
    <n v="1"/>
    <n v="3.2"/>
    <n v="5"/>
    <x v="6"/>
  </r>
  <r>
    <x v="183"/>
    <s v="26/08/2025"/>
    <x v="7"/>
    <x v="12"/>
    <x v="2"/>
    <x v="1"/>
    <x v="0"/>
    <x v="1"/>
    <n v="197331"/>
    <n v="3"/>
    <n v="3.9"/>
    <n v="2"/>
    <x v="3"/>
  </r>
  <r>
    <x v="184"/>
    <s v="22/08/2025"/>
    <x v="18"/>
    <x v="16"/>
    <x v="2"/>
    <x v="0"/>
    <x v="3"/>
    <x v="2"/>
    <n v="192608"/>
    <n v="4"/>
    <n v="4"/>
    <n v="8"/>
    <x v="3"/>
  </r>
  <r>
    <x v="185"/>
    <s v="25/06/2025"/>
    <x v="10"/>
    <x v="0"/>
    <x v="0"/>
    <x v="3"/>
    <x v="1"/>
    <x v="0"/>
    <n v="3372"/>
    <n v="2"/>
    <n v="4.2"/>
    <n v="6"/>
    <x v="9"/>
  </r>
  <r>
    <x v="186"/>
    <s v="06/04/2025"/>
    <x v="0"/>
    <x v="18"/>
    <x v="3"/>
    <x v="1"/>
    <x v="0"/>
    <x v="0"/>
    <n v="16212"/>
    <n v="7"/>
    <n v="4.3"/>
    <n v="7"/>
    <x v="2"/>
  </r>
  <r>
    <x v="187"/>
    <s v="23/10/2025"/>
    <x v="14"/>
    <x v="14"/>
    <x v="2"/>
    <x v="5"/>
    <x v="3"/>
    <x v="3"/>
    <n v="100890"/>
    <n v="2"/>
    <n v="4"/>
    <n v="5"/>
    <x v="1"/>
  </r>
  <r>
    <x v="188"/>
    <s v="28/10/2025"/>
    <x v="4"/>
    <x v="8"/>
    <x v="1"/>
    <x v="5"/>
    <x v="2"/>
    <x v="0"/>
    <n v="7252"/>
    <n v="2"/>
    <n v="4.7"/>
    <n v="5"/>
    <x v="1"/>
  </r>
  <r>
    <x v="189"/>
    <s v="03/05/2025"/>
    <x v="6"/>
    <x v="14"/>
    <x v="2"/>
    <x v="3"/>
    <x v="1"/>
    <x v="0"/>
    <n v="257145"/>
    <n v="5"/>
    <n v="3.9"/>
    <n v="3"/>
    <x v="0"/>
  </r>
  <r>
    <x v="190"/>
    <s v="12/10/2025"/>
    <x v="15"/>
    <x v="18"/>
    <x v="3"/>
    <x v="0"/>
    <x v="1"/>
    <x v="0"/>
    <n v="6696"/>
    <n v="3"/>
    <n v="4.7"/>
    <n v="1"/>
    <x v="1"/>
  </r>
  <r>
    <x v="191"/>
    <s v="15/10/2025"/>
    <x v="13"/>
    <x v="5"/>
    <x v="4"/>
    <x v="2"/>
    <x v="2"/>
    <x v="1"/>
    <n v="18112"/>
    <n v="8"/>
    <n v="3.5"/>
    <n v="1"/>
    <x v="1"/>
  </r>
  <r>
    <x v="192"/>
    <s v="28/03/2025"/>
    <x v="10"/>
    <x v="13"/>
    <x v="4"/>
    <x v="2"/>
    <x v="2"/>
    <x v="3"/>
    <n v="18224"/>
    <n v="8"/>
    <n v="4.2"/>
    <n v="5"/>
    <x v="6"/>
  </r>
  <r>
    <x v="193"/>
    <s v="06/08/2025"/>
    <x v="17"/>
    <x v="9"/>
    <x v="1"/>
    <x v="0"/>
    <x v="0"/>
    <x v="0"/>
    <n v="16336"/>
    <n v="2"/>
    <n v="3.7"/>
    <n v="2"/>
    <x v="3"/>
  </r>
  <r>
    <x v="194"/>
    <s v="30/12/2025"/>
    <x v="4"/>
    <x v="6"/>
    <x v="1"/>
    <x v="5"/>
    <x v="0"/>
    <x v="1"/>
    <n v="12404"/>
    <n v="7"/>
    <n v="4.2"/>
    <n v="5"/>
    <x v="8"/>
  </r>
  <r>
    <x v="195"/>
    <s v="21/10/2025"/>
    <x v="8"/>
    <x v="16"/>
    <x v="2"/>
    <x v="4"/>
    <x v="0"/>
    <x v="1"/>
    <n v="101355"/>
    <n v="5"/>
    <n v="5"/>
    <n v="3"/>
    <x v="1"/>
  </r>
  <r>
    <x v="196"/>
    <s v="08/09/2025"/>
    <x v="5"/>
    <x v="5"/>
    <x v="4"/>
    <x v="5"/>
    <x v="3"/>
    <x v="1"/>
    <n v="4050"/>
    <n v="3"/>
    <n v="4"/>
    <n v="2"/>
    <x v="5"/>
  </r>
  <r>
    <x v="197"/>
    <s v="17/06/2025"/>
    <x v="10"/>
    <x v="11"/>
    <x v="3"/>
    <x v="3"/>
    <x v="0"/>
    <x v="3"/>
    <n v="5900"/>
    <n v="1"/>
    <n v="4.5"/>
    <n v="2"/>
    <x v="9"/>
  </r>
  <r>
    <x v="198"/>
    <s v="18/05/2025"/>
    <x v="18"/>
    <x v="5"/>
    <x v="4"/>
    <x v="1"/>
    <x v="2"/>
    <x v="2"/>
    <n v="9798"/>
    <n v="6"/>
    <n v="4.2"/>
    <n v="8"/>
    <x v="0"/>
  </r>
  <r>
    <x v="199"/>
    <s v="09/01/2025"/>
    <x v="3"/>
    <x v="15"/>
    <x v="0"/>
    <x v="4"/>
    <x v="3"/>
    <x v="2"/>
    <n v="1246"/>
    <n v="2"/>
    <n v="3.6"/>
    <n v="3"/>
    <x v="10"/>
  </r>
  <r>
    <x v="200"/>
    <s v="12/02/2025"/>
    <x v="16"/>
    <x v="16"/>
    <x v="2"/>
    <x v="1"/>
    <x v="2"/>
    <x v="2"/>
    <n v="55722"/>
    <n v="6"/>
    <n v="3.7"/>
    <n v="4"/>
    <x v="7"/>
  </r>
  <r>
    <x v="201"/>
    <s v="02/09/2025"/>
    <x v="7"/>
    <x v="10"/>
    <x v="0"/>
    <x v="3"/>
    <x v="0"/>
    <x v="3"/>
    <n v="1142"/>
    <n v="2"/>
    <n v="3.2"/>
    <n v="6"/>
    <x v="5"/>
  </r>
  <r>
    <x v="202"/>
    <s v="16/07/2025"/>
    <x v="5"/>
    <x v="10"/>
    <x v="0"/>
    <x v="4"/>
    <x v="0"/>
    <x v="2"/>
    <n v="3592"/>
    <n v="2"/>
    <n v="4.8"/>
    <n v="3"/>
    <x v="4"/>
  </r>
  <r>
    <x v="203"/>
    <s v="09/11/2025"/>
    <x v="19"/>
    <x v="1"/>
    <x v="1"/>
    <x v="0"/>
    <x v="2"/>
    <x v="0"/>
    <n v="9840"/>
    <n v="3"/>
    <n v="4.9000000000000004"/>
    <n v="8"/>
    <x v="11"/>
  </r>
  <r>
    <x v="204"/>
    <s v="29/06/2025"/>
    <x v="0"/>
    <x v="15"/>
    <x v="0"/>
    <x v="1"/>
    <x v="3"/>
    <x v="0"/>
    <n v="6608"/>
    <n v="7"/>
    <n v="3.4"/>
    <n v="5"/>
    <x v="9"/>
  </r>
  <r>
    <x v="205"/>
    <s v="20/07/2025"/>
    <x v="4"/>
    <x v="9"/>
    <x v="1"/>
    <x v="0"/>
    <x v="2"/>
    <x v="1"/>
    <n v="35610"/>
    <n v="5"/>
    <n v="3.4"/>
    <n v="8"/>
    <x v="4"/>
  </r>
  <r>
    <x v="206"/>
    <s v="18/07/2025"/>
    <x v="0"/>
    <x v="2"/>
    <x v="2"/>
    <x v="2"/>
    <x v="0"/>
    <x v="2"/>
    <n v="176015"/>
    <n v="7"/>
    <n v="3.2"/>
    <n v="2"/>
    <x v="4"/>
  </r>
  <r>
    <x v="207"/>
    <s v="17/09/2025"/>
    <x v="11"/>
    <x v="15"/>
    <x v="0"/>
    <x v="0"/>
    <x v="3"/>
    <x v="2"/>
    <n v="7935"/>
    <n v="5"/>
    <n v="3.3"/>
    <n v="3"/>
    <x v="5"/>
  </r>
  <r>
    <x v="208"/>
    <s v="21/03/2025"/>
    <x v="16"/>
    <x v="9"/>
    <x v="1"/>
    <x v="0"/>
    <x v="1"/>
    <x v="2"/>
    <n v="28254"/>
    <n v="6"/>
    <n v="3.3"/>
    <n v="2"/>
    <x v="6"/>
  </r>
  <r>
    <x v="209"/>
    <s v="03/03/2025"/>
    <x v="1"/>
    <x v="2"/>
    <x v="2"/>
    <x v="2"/>
    <x v="0"/>
    <x v="1"/>
    <n v="3987"/>
    <n v="1"/>
    <n v="4.9000000000000004"/>
    <n v="5"/>
    <x v="6"/>
  </r>
  <r>
    <x v="210"/>
    <s v="21/06/2025"/>
    <x v="17"/>
    <x v="0"/>
    <x v="0"/>
    <x v="5"/>
    <x v="3"/>
    <x v="2"/>
    <n v="5999"/>
    <n v="7"/>
    <n v="4.3"/>
    <n v="8"/>
    <x v="9"/>
  </r>
  <r>
    <x v="211"/>
    <s v="08/07/2025"/>
    <x v="2"/>
    <x v="18"/>
    <x v="3"/>
    <x v="0"/>
    <x v="0"/>
    <x v="2"/>
    <n v="4932"/>
    <n v="3"/>
    <n v="4.5"/>
    <n v="1"/>
    <x v="4"/>
  </r>
  <r>
    <x v="212"/>
    <s v="16/07/2025"/>
    <x v="18"/>
    <x v="4"/>
    <x v="3"/>
    <x v="2"/>
    <x v="2"/>
    <x v="1"/>
    <n v="12405"/>
    <n v="3"/>
    <n v="3.8"/>
    <n v="7"/>
    <x v="4"/>
  </r>
  <r>
    <x v="213"/>
    <s v="02/04/2025"/>
    <x v="18"/>
    <x v="0"/>
    <x v="0"/>
    <x v="0"/>
    <x v="1"/>
    <x v="2"/>
    <n v="5424"/>
    <n v="4"/>
    <n v="4.8"/>
    <n v="5"/>
    <x v="2"/>
  </r>
  <r>
    <x v="214"/>
    <s v="30/05/2025"/>
    <x v="10"/>
    <x v="2"/>
    <x v="2"/>
    <x v="4"/>
    <x v="0"/>
    <x v="2"/>
    <n v="316535"/>
    <n v="5"/>
    <n v="4.9000000000000004"/>
    <n v="4"/>
    <x v="0"/>
  </r>
  <r>
    <x v="215"/>
    <s v="30/04/2025"/>
    <x v="7"/>
    <x v="3"/>
    <x v="3"/>
    <x v="4"/>
    <x v="0"/>
    <x v="3"/>
    <n v="4266"/>
    <n v="6"/>
    <n v="3.9"/>
    <n v="5"/>
    <x v="2"/>
  </r>
  <r>
    <x v="216"/>
    <s v="14/03/2025"/>
    <x v="17"/>
    <x v="3"/>
    <x v="3"/>
    <x v="1"/>
    <x v="2"/>
    <x v="2"/>
    <n v="24785"/>
    <n v="5"/>
    <n v="4.5"/>
    <n v="6"/>
    <x v="6"/>
  </r>
  <r>
    <x v="217"/>
    <s v="23/11/2025"/>
    <x v="5"/>
    <x v="9"/>
    <x v="1"/>
    <x v="1"/>
    <x v="3"/>
    <x v="1"/>
    <n v="32753"/>
    <n v="7"/>
    <n v="3.7"/>
    <n v="6"/>
    <x v="11"/>
  </r>
  <r>
    <x v="218"/>
    <s v="30/04/2025"/>
    <x v="17"/>
    <x v="4"/>
    <x v="3"/>
    <x v="2"/>
    <x v="1"/>
    <x v="2"/>
    <n v="3184"/>
    <n v="2"/>
    <n v="3.4"/>
    <n v="8"/>
    <x v="2"/>
  </r>
  <r>
    <x v="219"/>
    <s v="17/04/2025"/>
    <x v="4"/>
    <x v="6"/>
    <x v="1"/>
    <x v="0"/>
    <x v="0"/>
    <x v="1"/>
    <n v="18248"/>
    <n v="8"/>
    <n v="3.5"/>
    <n v="5"/>
    <x v="2"/>
  </r>
  <r>
    <x v="220"/>
    <s v="31/12/2025"/>
    <x v="0"/>
    <x v="17"/>
    <x v="4"/>
    <x v="3"/>
    <x v="1"/>
    <x v="0"/>
    <n v="7492"/>
    <n v="4"/>
    <n v="3.7"/>
    <n v="3"/>
    <x v="8"/>
  </r>
  <r>
    <x v="221"/>
    <s v="22/02/2025"/>
    <x v="15"/>
    <x v="15"/>
    <x v="0"/>
    <x v="1"/>
    <x v="2"/>
    <x v="1"/>
    <n v="1644"/>
    <n v="3"/>
    <n v="3.6"/>
    <n v="7"/>
    <x v="7"/>
  </r>
  <r>
    <x v="222"/>
    <s v="03/02/2025"/>
    <x v="2"/>
    <x v="0"/>
    <x v="0"/>
    <x v="4"/>
    <x v="1"/>
    <x v="3"/>
    <n v="6488"/>
    <n v="4"/>
    <n v="3.4"/>
    <n v="8"/>
    <x v="7"/>
  </r>
  <r>
    <x v="223"/>
    <s v="15/07/2025"/>
    <x v="2"/>
    <x v="3"/>
    <x v="3"/>
    <x v="5"/>
    <x v="0"/>
    <x v="1"/>
    <n v="15631"/>
    <n v="7"/>
    <n v="3.7"/>
    <n v="3"/>
    <x v="4"/>
  </r>
  <r>
    <x v="224"/>
    <s v="09/10/2025"/>
    <x v="10"/>
    <x v="11"/>
    <x v="3"/>
    <x v="0"/>
    <x v="1"/>
    <x v="1"/>
    <n v="30696"/>
    <n v="8"/>
    <n v="4"/>
    <n v="4"/>
    <x v="1"/>
  </r>
  <r>
    <x v="225"/>
    <s v="26/06/2025"/>
    <x v="11"/>
    <x v="11"/>
    <x v="3"/>
    <x v="0"/>
    <x v="1"/>
    <x v="1"/>
    <n v="5478"/>
    <n v="6"/>
    <n v="4.3"/>
    <n v="1"/>
    <x v="9"/>
  </r>
  <r>
    <x v="226"/>
    <s v="23/03/2025"/>
    <x v="6"/>
    <x v="9"/>
    <x v="1"/>
    <x v="3"/>
    <x v="3"/>
    <x v="0"/>
    <n v="3432"/>
    <n v="2"/>
    <n v="4.5999999999999996"/>
    <n v="4"/>
    <x v="6"/>
  </r>
  <r>
    <x v="227"/>
    <s v="31/10/2025"/>
    <x v="6"/>
    <x v="7"/>
    <x v="4"/>
    <x v="4"/>
    <x v="1"/>
    <x v="1"/>
    <n v="10314"/>
    <n v="6"/>
    <n v="4.9000000000000004"/>
    <n v="3"/>
    <x v="1"/>
  </r>
  <r>
    <x v="228"/>
    <s v="20/01/2025"/>
    <x v="18"/>
    <x v="5"/>
    <x v="4"/>
    <x v="5"/>
    <x v="0"/>
    <x v="0"/>
    <n v="2404"/>
    <n v="2"/>
    <n v="4.0999999999999996"/>
    <n v="1"/>
    <x v="10"/>
  </r>
  <r>
    <x v="229"/>
    <s v="15/06/2025"/>
    <x v="9"/>
    <x v="2"/>
    <x v="2"/>
    <x v="2"/>
    <x v="1"/>
    <x v="2"/>
    <n v="79388"/>
    <n v="1"/>
    <n v="4.7"/>
    <n v="6"/>
    <x v="9"/>
  </r>
  <r>
    <x v="230"/>
    <s v="15/06/2025"/>
    <x v="13"/>
    <x v="16"/>
    <x v="2"/>
    <x v="1"/>
    <x v="0"/>
    <x v="3"/>
    <n v="199074"/>
    <n v="3"/>
    <n v="4.5"/>
    <n v="6"/>
    <x v="9"/>
  </r>
  <r>
    <x v="231"/>
    <s v="07/03/2025"/>
    <x v="4"/>
    <x v="16"/>
    <x v="2"/>
    <x v="4"/>
    <x v="2"/>
    <x v="3"/>
    <n v="232746"/>
    <n v="3"/>
    <n v="3.3"/>
    <n v="6"/>
    <x v="6"/>
  </r>
  <r>
    <x v="232"/>
    <s v="09/02/2025"/>
    <x v="17"/>
    <x v="13"/>
    <x v="4"/>
    <x v="0"/>
    <x v="3"/>
    <x v="0"/>
    <n v="6232"/>
    <n v="4"/>
    <n v="4.7"/>
    <n v="6"/>
    <x v="7"/>
  </r>
  <r>
    <x v="233"/>
    <s v="29/06/2025"/>
    <x v="16"/>
    <x v="17"/>
    <x v="4"/>
    <x v="3"/>
    <x v="1"/>
    <x v="1"/>
    <n v="1275"/>
    <n v="5"/>
    <n v="4.5"/>
    <n v="3"/>
    <x v="9"/>
  </r>
  <r>
    <x v="234"/>
    <s v="21/02/2025"/>
    <x v="3"/>
    <x v="8"/>
    <x v="1"/>
    <x v="0"/>
    <x v="3"/>
    <x v="1"/>
    <n v="16056"/>
    <n v="8"/>
    <n v="4.5999999999999996"/>
    <n v="1"/>
    <x v="7"/>
  </r>
  <r>
    <x v="235"/>
    <s v="25/06/2025"/>
    <x v="0"/>
    <x v="0"/>
    <x v="0"/>
    <x v="3"/>
    <x v="0"/>
    <x v="3"/>
    <n v="3204"/>
    <n v="3"/>
    <n v="3.8"/>
    <n v="8"/>
    <x v="9"/>
  </r>
  <r>
    <x v="236"/>
    <s v="21/02/2025"/>
    <x v="3"/>
    <x v="17"/>
    <x v="4"/>
    <x v="4"/>
    <x v="2"/>
    <x v="2"/>
    <n v="6168"/>
    <n v="6"/>
    <n v="3.7"/>
    <n v="5"/>
    <x v="7"/>
  </r>
  <r>
    <x v="237"/>
    <s v="20/03/2025"/>
    <x v="19"/>
    <x v="11"/>
    <x v="3"/>
    <x v="0"/>
    <x v="2"/>
    <x v="0"/>
    <n v="1417"/>
    <n v="1"/>
    <n v="4.7"/>
    <n v="8"/>
    <x v="6"/>
  </r>
  <r>
    <x v="238"/>
    <s v="11/02/2025"/>
    <x v="9"/>
    <x v="13"/>
    <x v="4"/>
    <x v="1"/>
    <x v="1"/>
    <x v="0"/>
    <n v="12104"/>
    <n v="8"/>
    <n v="4.8"/>
    <n v="5"/>
    <x v="7"/>
  </r>
  <r>
    <x v="239"/>
    <s v="09/07/2025"/>
    <x v="6"/>
    <x v="12"/>
    <x v="2"/>
    <x v="0"/>
    <x v="0"/>
    <x v="2"/>
    <n v="111030"/>
    <n v="3"/>
    <n v="3.7"/>
    <n v="5"/>
    <x v="4"/>
  </r>
  <r>
    <x v="240"/>
    <s v="05/10/2025"/>
    <x v="10"/>
    <x v="20"/>
    <x v="0"/>
    <x v="1"/>
    <x v="1"/>
    <x v="0"/>
    <n v="10549"/>
    <n v="7"/>
    <n v="4.7"/>
    <n v="7"/>
    <x v="1"/>
  </r>
  <r>
    <x v="241"/>
    <s v="10/02/2025"/>
    <x v="7"/>
    <x v="4"/>
    <x v="3"/>
    <x v="3"/>
    <x v="0"/>
    <x v="0"/>
    <n v="37653"/>
    <n v="7"/>
    <n v="4.5999999999999996"/>
    <n v="3"/>
    <x v="7"/>
  </r>
  <r>
    <x v="242"/>
    <s v="06/03/2025"/>
    <x v="18"/>
    <x v="7"/>
    <x v="4"/>
    <x v="1"/>
    <x v="2"/>
    <x v="2"/>
    <n v="570"/>
    <n v="1"/>
    <n v="3.5"/>
    <n v="5"/>
    <x v="6"/>
  </r>
  <r>
    <x v="243"/>
    <s v="10/10/2025"/>
    <x v="7"/>
    <x v="11"/>
    <x v="3"/>
    <x v="3"/>
    <x v="0"/>
    <x v="0"/>
    <n v="4806"/>
    <n v="6"/>
    <n v="4.3"/>
    <n v="7"/>
    <x v="1"/>
  </r>
  <r>
    <x v="244"/>
    <s v="24/02/2025"/>
    <x v="6"/>
    <x v="1"/>
    <x v="1"/>
    <x v="5"/>
    <x v="1"/>
    <x v="2"/>
    <n v="10254"/>
    <n v="2"/>
    <n v="3.9"/>
    <n v="8"/>
    <x v="7"/>
  </r>
  <r>
    <x v="245"/>
    <s v="26/07/2025"/>
    <x v="14"/>
    <x v="13"/>
    <x v="4"/>
    <x v="2"/>
    <x v="3"/>
    <x v="2"/>
    <n v="5685"/>
    <n v="3"/>
    <n v="4.4000000000000004"/>
    <n v="1"/>
    <x v="4"/>
  </r>
  <r>
    <x v="246"/>
    <s v="09/06/2025"/>
    <x v="18"/>
    <x v="16"/>
    <x v="2"/>
    <x v="2"/>
    <x v="1"/>
    <x v="2"/>
    <n v="161890"/>
    <n v="5"/>
    <n v="5"/>
    <n v="8"/>
    <x v="9"/>
  </r>
  <r>
    <x v="247"/>
    <s v="19/04/2025"/>
    <x v="3"/>
    <x v="5"/>
    <x v="4"/>
    <x v="1"/>
    <x v="1"/>
    <x v="0"/>
    <n v="16555"/>
    <n v="7"/>
    <n v="4.5999999999999996"/>
    <n v="2"/>
    <x v="2"/>
  </r>
  <r>
    <x v="248"/>
    <s v="30/03/2025"/>
    <x v="19"/>
    <x v="1"/>
    <x v="1"/>
    <x v="2"/>
    <x v="3"/>
    <x v="3"/>
    <n v="33112"/>
    <n v="4"/>
    <n v="3.3"/>
    <n v="6"/>
    <x v="6"/>
  </r>
  <r>
    <x v="249"/>
    <s v="22/11/2025"/>
    <x v="14"/>
    <x v="8"/>
    <x v="1"/>
    <x v="5"/>
    <x v="3"/>
    <x v="1"/>
    <n v="17616"/>
    <n v="2"/>
    <n v="4.3"/>
    <n v="3"/>
    <x v="11"/>
  </r>
  <r>
    <x v="250"/>
    <s v="19/12/2025"/>
    <x v="13"/>
    <x v="13"/>
    <x v="4"/>
    <x v="1"/>
    <x v="0"/>
    <x v="0"/>
    <n v="724"/>
    <n v="2"/>
    <n v="4.7"/>
    <n v="4"/>
    <x v="8"/>
  </r>
  <r>
    <x v="251"/>
    <s v="20/09/2025"/>
    <x v="13"/>
    <x v="12"/>
    <x v="2"/>
    <x v="2"/>
    <x v="3"/>
    <x v="1"/>
    <n v="64640"/>
    <n v="1"/>
    <n v="3.5"/>
    <n v="1"/>
    <x v="5"/>
  </r>
  <r>
    <x v="252"/>
    <s v="28/06/2025"/>
    <x v="6"/>
    <x v="11"/>
    <x v="3"/>
    <x v="0"/>
    <x v="2"/>
    <x v="1"/>
    <n v="25400"/>
    <n v="8"/>
    <n v="4.0999999999999996"/>
    <n v="7"/>
    <x v="9"/>
  </r>
  <r>
    <x v="253"/>
    <s v="02/06/2025"/>
    <x v="11"/>
    <x v="6"/>
    <x v="1"/>
    <x v="1"/>
    <x v="3"/>
    <x v="0"/>
    <n v="22590"/>
    <n v="2"/>
    <n v="3.8"/>
    <n v="5"/>
    <x v="9"/>
  </r>
  <r>
    <x v="254"/>
    <s v="30/01/2025"/>
    <x v="11"/>
    <x v="7"/>
    <x v="4"/>
    <x v="3"/>
    <x v="1"/>
    <x v="3"/>
    <n v="10913"/>
    <n v="7"/>
    <n v="4.0999999999999996"/>
    <n v="5"/>
    <x v="10"/>
  </r>
  <r>
    <x v="255"/>
    <s v="25/06/2025"/>
    <x v="10"/>
    <x v="10"/>
    <x v="0"/>
    <x v="4"/>
    <x v="3"/>
    <x v="2"/>
    <n v="6820"/>
    <n v="4"/>
    <n v="3.7"/>
    <n v="3"/>
    <x v="9"/>
  </r>
  <r>
    <x v="256"/>
    <s v="13/05/2025"/>
    <x v="16"/>
    <x v="18"/>
    <x v="3"/>
    <x v="2"/>
    <x v="3"/>
    <x v="1"/>
    <n v="7560"/>
    <n v="3"/>
    <n v="3.6"/>
    <n v="5"/>
    <x v="0"/>
  </r>
  <r>
    <x v="257"/>
    <s v="26/08/2025"/>
    <x v="12"/>
    <x v="6"/>
    <x v="1"/>
    <x v="0"/>
    <x v="1"/>
    <x v="1"/>
    <n v="21936"/>
    <n v="2"/>
    <n v="3.3"/>
    <n v="4"/>
    <x v="3"/>
  </r>
  <r>
    <x v="258"/>
    <s v="19/03/2025"/>
    <x v="9"/>
    <x v="3"/>
    <x v="3"/>
    <x v="3"/>
    <x v="3"/>
    <x v="0"/>
    <n v="16092"/>
    <n v="3"/>
    <n v="3.5"/>
    <n v="3"/>
    <x v="6"/>
  </r>
  <r>
    <x v="259"/>
    <s v="03/01/2025"/>
    <x v="8"/>
    <x v="14"/>
    <x v="2"/>
    <x v="5"/>
    <x v="1"/>
    <x v="3"/>
    <n v="196792"/>
    <n v="8"/>
    <n v="4.0999999999999996"/>
    <n v="2"/>
    <x v="10"/>
  </r>
  <r>
    <x v="260"/>
    <s v="02/09/2025"/>
    <x v="12"/>
    <x v="11"/>
    <x v="3"/>
    <x v="4"/>
    <x v="2"/>
    <x v="2"/>
    <n v="16331"/>
    <n v="7"/>
    <n v="4.9000000000000004"/>
    <n v="6"/>
    <x v="5"/>
  </r>
  <r>
    <x v="261"/>
    <s v="22/12/2025"/>
    <x v="9"/>
    <x v="7"/>
    <x v="4"/>
    <x v="0"/>
    <x v="3"/>
    <x v="1"/>
    <n v="4668"/>
    <n v="6"/>
    <n v="4.3"/>
    <n v="3"/>
    <x v="8"/>
  </r>
  <r>
    <x v="262"/>
    <s v="11/08/2025"/>
    <x v="0"/>
    <x v="4"/>
    <x v="3"/>
    <x v="4"/>
    <x v="0"/>
    <x v="0"/>
    <n v="6729"/>
    <n v="3"/>
    <n v="4.9000000000000004"/>
    <n v="7"/>
    <x v="3"/>
  </r>
  <r>
    <x v="263"/>
    <s v="29/10/2025"/>
    <x v="4"/>
    <x v="17"/>
    <x v="4"/>
    <x v="0"/>
    <x v="2"/>
    <x v="2"/>
    <n v="5253"/>
    <n v="3"/>
    <n v="3.7"/>
    <n v="1"/>
    <x v="1"/>
  </r>
  <r>
    <x v="264"/>
    <s v="02/08/2025"/>
    <x v="0"/>
    <x v="0"/>
    <x v="0"/>
    <x v="2"/>
    <x v="1"/>
    <x v="2"/>
    <n v="8624"/>
    <n v="8"/>
    <n v="4.5"/>
    <n v="4"/>
    <x v="3"/>
  </r>
  <r>
    <x v="265"/>
    <s v="15/11/2025"/>
    <x v="14"/>
    <x v="6"/>
    <x v="1"/>
    <x v="4"/>
    <x v="0"/>
    <x v="1"/>
    <n v="8184"/>
    <n v="3"/>
    <n v="3.7"/>
    <n v="2"/>
    <x v="11"/>
  </r>
  <r>
    <x v="266"/>
    <s v="03/07/2025"/>
    <x v="18"/>
    <x v="9"/>
    <x v="1"/>
    <x v="4"/>
    <x v="2"/>
    <x v="2"/>
    <n v="62524"/>
    <n v="7"/>
    <n v="4.8"/>
    <n v="8"/>
    <x v="4"/>
  </r>
  <r>
    <x v="267"/>
    <s v="21/10/2025"/>
    <x v="17"/>
    <x v="0"/>
    <x v="0"/>
    <x v="2"/>
    <x v="3"/>
    <x v="3"/>
    <n v="4840"/>
    <n v="8"/>
    <n v="4.8"/>
    <n v="4"/>
    <x v="1"/>
  </r>
  <r>
    <x v="268"/>
    <s v="31/03/2025"/>
    <x v="0"/>
    <x v="0"/>
    <x v="0"/>
    <x v="4"/>
    <x v="0"/>
    <x v="1"/>
    <n v="895"/>
    <n v="1"/>
    <n v="3.4"/>
    <n v="1"/>
    <x v="6"/>
  </r>
  <r>
    <x v="269"/>
    <s v="15/11/2025"/>
    <x v="11"/>
    <x v="12"/>
    <x v="2"/>
    <x v="3"/>
    <x v="1"/>
    <x v="3"/>
    <n v="237105"/>
    <n v="5"/>
    <n v="3.9"/>
    <n v="8"/>
    <x v="11"/>
  </r>
  <r>
    <x v="270"/>
    <s v="09/03/2025"/>
    <x v="1"/>
    <x v="17"/>
    <x v="4"/>
    <x v="5"/>
    <x v="1"/>
    <x v="1"/>
    <n v="674"/>
    <n v="1"/>
    <n v="4.5999999999999996"/>
    <n v="8"/>
    <x v="6"/>
  </r>
  <r>
    <x v="271"/>
    <s v="17/12/2025"/>
    <x v="18"/>
    <x v="1"/>
    <x v="1"/>
    <x v="0"/>
    <x v="0"/>
    <x v="1"/>
    <n v="24060"/>
    <n v="3"/>
    <n v="3.3"/>
    <n v="5"/>
    <x v="8"/>
  </r>
  <r>
    <x v="272"/>
    <s v="10/08/2025"/>
    <x v="0"/>
    <x v="1"/>
    <x v="1"/>
    <x v="1"/>
    <x v="0"/>
    <x v="3"/>
    <n v="39788"/>
    <n v="4"/>
    <n v="4.8"/>
    <n v="1"/>
    <x v="3"/>
  </r>
  <r>
    <x v="273"/>
    <s v="08/02/2025"/>
    <x v="5"/>
    <x v="18"/>
    <x v="3"/>
    <x v="4"/>
    <x v="2"/>
    <x v="3"/>
    <n v="23824"/>
    <n v="8"/>
    <n v="4.0999999999999996"/>
    <n v="7"/>
    <x v="7"/>
  </r>
  <r>
    <x v="274"/>
    <s v="15/02/2025"/>
    <x v="16"/>
    <x v="11"/>
    <x v="3"/>
    <x v="0"/>
    <x v="2"/>
    <x v="2"/>
    <n v="38192"/>
    <n v="8"/>
    <n v="3.2"/>
    <n v="7"/>
    <x v="7"/>
  </r>
  <r>
    <x v="275"/>
    <s v="18/09/2025"/>
    <x v="18"/>
    <x v="6"/>
    <x v="1"/>
    <x v="5"/>
    <x v="1"/>
    <x v="1"/>
    <n v="6756"/>
    <n v="4"/>
    <n v="4.7"/>
    <n v="8"/>
    <x v="5"/>
  </r>
  <r>
    <x v="276"/>
    <s v="19/02/2025"/>
    <x v="7"/>
    <x v="3"/>
    <x v="3"/>
    <x v="0"/>
    <x v="0"/>
    <x v="3"/>
    <n v="23560"/>
    <n v="4"/>
    <n v="4.2"/>
    <n v="6"/>
    <x v="7"/>
  </r>
  <r>
    <x v="277"/>
    <s v="24/02/2025"/>
    <x v="18"/>
    <x v="5"/>
    <x v="4"/>
    <x v="0"/>
    <x v="1"/>
    <x v="2"/>
    <n v="5260"/>
    <n v="5"/>
    <n v="3.6"/>
    <n v="4"/>
    <x v="7"/>
  </r>
  <r>
    <x v="278"/>
    <s v="19/08/2025"/>
    <x v="10"/>
    <x v="1"/>
    <x v="1"/>
    <x v="3"/>
    <x v="1"/>
    <x v="0"/>
    <n v="6968"/>
    <n v="8"/>
    <n v="4.2"/>
    <n v="1"/>
    <x v="3"/>
  </r>
  <r>
    <x v="279"/>
    <s v="07/03/2025"/>
    <x v="11"/>
    <x v="9"/>
    <x v="1"/>
    <x v="3"/>
    <x v="3"/>
    <x v="1"/>
    <n v="15318"/>
    <n v="2"/>
    <n v="5"/>
    <n v="4"/>
    <x v="6"/>
  </r>
  <r>
    <x v="280"/>
    <s v="12/03/2025"/>
    <x v="19"/>
    <x v="18"/>
    <x v="3"/>
    <x v="4"/>
    <x v="3"/>
    <x v="1"/>
    <n v="36309"/>
    <n v="7"/>
    <n v="4.5"/>
    <n v="4"/>
    <x v="6"/>
  </r>
  <r>
    <x v="281"/>
    <s v="15/09/2025"/>
    <x v="10"/>
    <x v="7"/>
    <x v="4"/>
    <x v="2"/>
    <x v="1"/>
    <x v="2"/>
    <n v="4332"/>
    <n v="6"/>
    <n v="4.2"/>
    <n v="7"/>
    <x v="5"/>
  </r>
  <r>
    <x v="282"/>
    <s v="13/01/2025"/>
    <x v="3"/>
    <x v="1"/>
    <x v="1"/>
    <x v="1"/>
    <x v="3"/>
    <x v="0"/>
    <n v="36218"/>
    <n v="7"/>
    <n v="4.5999999999999996"/>
    <n v="3"/>
    <x v="10"/>
  </r>
  <r>
    <x v="283"/>
    <s v="15/04/2025"/>
    <x v="10"/>
    <x v="20"/>
    <x v="0"/>
    <x v="3"/>
    <x v="0"/>
    <x v="1"/>
    <n v="1034"/>
    <n v="1"/>
    <n v="4.5"/>
    <n v="4"/>
    <x v="2"/>
  </r>
  <r>
    <x v="284"/>
    <s v="18/07/2025"/>
    <x v="4"/>
    <x v="15"/>
    <x v="0"/>
    <x v="3"/>
    <x v="0"/>
    <x v="1"/>
    <n v="11921"/>
    <n v="7"/>
    <n v="4.5"/>
    <n v="4"/>
    <x v="4"/>
  </r>
  <r>
    <x v="285"/>
    <s v="10/04/2025"/>
    <x v="5"/>
    <x v="9"/>
    <x v="1"/>
    <x v="0"/>
    <x v="1"/>
    <x v="1"/>
    <n v="18235"/>
    <n v="5"/>
    <n v="4.5"/>
    <n v="2"/>
    <x v="2"/>
  </r>
  <r>
    <x v="286"/>
    <s v="08/03/2025"/>
    <x v="2"/>
    <x v="6"/>
    <x v="1"/>
    <x v="4"/>
    <x v="3"/>
    <x v="2"/>
    <n v="25320"/>
    <n v="3"/>
    <n v="4.5"/>
    <n v="3"/>
    <x v="6"/>
  </r>
  <r>
    <x v="287"/>
    <s v="09/09/2025"/>
    <x v="16"/>
    <x v="6"/>
    <x v="1"/>
    <x v="5"/>
    <x v="1"/>
    <x v="2"/>
    <n v="22872"/>
    <n v="6"/>
    <n v="4.0999999999999996"/>
    <n v="3"/>
    <x v="5"/>
  </r>
  <r>
    <x v="288"/>
    <s v="20/04/2025"/>
    <x v="7"/>
    <x v="2"/>
    <x v="2"/>
    <x v="1"/>
    <x v="3"/>
    <x v="3"/>
    <n v="245874"/>
    <n v="6"/>
    <n v="4.2"/>
    <n v="1"/>
    <x v="2"/>
  </r>
  <r>
    <x v="289"/>
    <s v="21/01/2025"/>
    <x v="12"/>
    <x v="7"/>
    <x v="4"/>
    <x v="2"/>
    <x v="1"/>
    <x v="3"/>
    <n v="4284"/>
    <n v="6"/>
    <n v="4.5"/>
    <n v="1"/>
    <x v="10"/>
  </r>
  <r>
    <x v="290"/>
    <s v="30/11/2025"/>
    <x v="9"/>
    <x v="20"/>
    <x v="0"/>
    <x v="4"/>
    <x v="0"/>
    <x v="3"/>
    <n v="3824"/>
    <n v="4"/>
    <n v="4.9000000000000004"/>
    <n v="1"/>
    <x v="11"/>
  </r>
  <r>
    <x v="291"/>
    <s v="03/10/2025"/>
    <x v="9"/>
    <x v="10"/>
    <x v="0"/>
    <x v="0"/>
    <x v="2"/>
    <x v="0"/>
    <n v="11368"/>
    <n v="7"/>
    <n v="4.5"/>
    <n v="1"/>
    <x v="1"/>
  </r>
  <r>
    <x v="292"/>
    <s v="06/02/2025"/>
    <x v="0"/>
    <x v="19"/>
    <x v="2"/>
    <x v="3"/>
    <x v="2"/>
    <x v="2"/>
    <n v="213440"/>
    <n v="4"/>
    <n v="3.9"/>
    <n v="6"/>
    <x v="7"/>
  </r>
  <r>
    <x v="293"/>
    <s v="27/10/2025"/>
    <x v="4"/>
    <x v="1"/>
    <x v="1"/>
    <x v="0"/>
    <x v="3"/>
    <x v="3"/>
    <n v="2538"/>
    <n v="1"/>
    <n v="3.7"/>
    <n v="5"/>
    <x v="1"/>
  </r>
  <r>
    <x v="294"/>
    <s v="05/12/2025"/>
    <x v="8"/>
    <x v="11"/>
    <x v="3"/>
    <x v="2"/>
    <x v="3"/>
    <x v="2"/>
    <n v="2501"/>
    <n v="1"/>
    <n v="4.5"/>
    <n v="5"/>
    <x v="8"/>
  </r>
  <r>
    <x v="295"/>
    <s v="05/03/2025"/>
    <x v="19"/>
    <x v="9"/>
    <x v="1"/>
    <x v="3"/>
    <x v="0"/>
    <x v="0"/>
    <n v="2194"/>
    <n v="1"/>
    <n v="3.7"/>
    <n v="6"/>
    <x v="6"/>
  </r>
  <r>
    <x v="296"/>
    <s v="12/11/2025"/>
    <x v="10"/>
    <x v="7"/>
    <x v="4"/>
    <x v="0"/>
    <x v="3"/>
    <x v="2"/>
    <n v="3595"/>
    <n v="5"/>
    <n v="4.7"/>
    <n v="8"/>
    <x v="11"/>
  </r>
  <r>
    <x v="297"/>
    <s v="12/04/2025"/>
    <x v="19"/>
    <x v="14"/>
    <x v="2"/>
    <x v="2"/>
    <x v="1"/>
    <x v="3"/>
    <n v="154440"/>
    <n v="8"/>
    <n v="3.7"/>
    <n v="2"/>
    <x v="2"/>
  </r>
  <r>
    <x v="298"/>
    <s v="04/12/2025"/>
    <x v="1"/>
    <x v="19"/>
    <x v="2"/>
    <x v="0"/>
    <x v="3"/>
    <x v="0"/>
    <n v="383140"/>
    <n v="5"/>
    <n v="4.7"/>
    <n v="7"/>
    <x v="8"/>
  </r>
  <r>
    <x v="299"/>
    <s v="22/05/2025"/>
    <x v="14"/>
    <x v="5"/>
    <x v="4"/>
    <x v="5"/>
    <x v="2"/>
    <x v="0"/>
    <n v="9648"/>
    <n v="6"/>
    <n v="3.8"/>
    <n v="5"/>
    <x v="0"/>
  </r>
  <r>
    <x v="300"/>
    <s v="24/05/2025"/>
    <x v="12"/>
    <x v="1"/>
    <x v="1"/>
    <x v="1"/>
    <x v="2"/>
    <x v="3"/>
    <n v="6156"/>
    <n v="3"/>
    <n v="4.5"/>
    <n v="1"/>
    <x v="0"/>
  </r>
  <r>
    <x v="301"/>
    <s v="19/01/2025"/>
    <x v="8"/>
    <x v="9"/>
    <x v="1"/>
    <x v="3"/>
    <x v="2"/>
    <x v="3"/>
    <n v="33965"/>
    <n v="5"/>
    <n v="3.9"/>
    <n v="5"/>
    <x v="10"/>
  </r>
  <r>
    <x v="302"/>
    <s v="06/01/2025"/>
    <x v="14"/>
    <x v="19"/>
    <x v="2"/>
    <x v="2"/>
    <x v="2"/>
    <x v="0"/>
    <n v="279552"/>
    <n v="4"/>
    <n v="3.5"/>
    <n v="3"/>
    <x v="10"/>
  </r>
  <r>
    <x v="303"/>
    <s v="02/02/2025"/>
    <x v="5"/>
    <x v="18"/>
    <x v="3"/>
    <x v="3"/>
    <x v="1"/>
    <x v="2"/>
    <n v="11965"/>
    <n v="5"/>
    <n v="4.8"/>
    <n v="6"/>
    <x v="7"/>
  </r>
  <r>
    <x v="304"/>
    <s v="22/02/2025"/>
    <x v="6"/>
    <x v="20"/>
    <x v="0"/>
    <x v="1"/>
    <x v="2"/>
    <x v="1"/>
    <n v="4195"/>
    <n v="5"/>
    <n v="4.4000000000000004"/>
    <n v="6"/>
    <x v="7"/>
  </r>
  <r>
    <x v="305"/>
    <s v="22/09/2025"/>
    <x v="17"/>
    <x v="18"/>
    <x v="3"/>
    <x v="4"/>
    <x v="0"/>
    <x v="2"/>
    <n v="32543"/>
    <n v="7"/>
    <n v="3.2"/>
    <n v="3"/>
    <x v="5"/>
  </r>
  <r>
    <x v="306"/>
    <s v="19/04/2025"/>
    <x v="18"/>
    <x v="6"/>
    <x v="1"/>
    <x v="1"/>
    <x v="2"/>
    <x v="3"/>
    <n v="8214"/>
    <n v="3"/>
    <n v="4.4000000000000004"/>
    <n v="7"/>
    <x v="2"/>
  </r>
  <r>
    <x v="307"/>
    <s v="18/04/2025"/>
    <x v="8"/>
    <x v="11"/>
    <x v="3"/>
    <x v="1"/>
    <x v="2"/>
    <x v="0"/>
    <n v="8088"/>
    <n v="3"/>
    <n v="3.4"/>
    <n v="3"/>
    <x v="2"/>
  </r>
  <r>
    <x v="308"/>
    <s v="13/05/2025"/>
    <x v="9"/>
    <x v="10"/>
    <x v="0"/>
    <x v="4"/>
    <x v="1"/>
    <x v="3"/>
    <n v="4074"/>
    <n v="3"/>
    <n v="3.2"/>
    <n v="5"/>
    <x v="0"/>
  </r>
  <r>
    <x v="309"/>
    <s v="23/04/2025"/>
    <x v="1"/>
    <x v="18"/>
    <x v="3"/>
    <x v="1"/>
    <x v="3"/>
    <x v="3"/>
    <n v="15323"/>
    <n v="7"/>
    <n v="4.4000000000000004"/>
    <n v="5"/>
    <x v="2"/>
  </r>
  <r>
    <x v="310"/>
    <s v="28/04/2025"/>
    <x v="8"/>
    <x v="1"/>
    <x v="1"/>
    <x v="5"/>
    <x v="2"/>
    <x v="0"/>
    <n v="28805"/>
    <n v="7"/>
    <n v="4.0999999999999996"/>
    <n v="7"/>
    <x v="2"/>
  </r>
  <r>
    <x v="311"/>
    <s v="30/09/2025"/>
    <x v="12"/>
    <x v="3"/>
    <x v="3"/>
    <x v="3"/>
    <x v="3"/>
    <x v="2"/>
    <n v="11286"/>
    <n v="2"/>
    <n v="4.7"/>
    <n v="7"/>
    <x v="5"/>
  </r>
  <r>
    <x v="312"/>
    <s v="28/04/2025"/>
    <x v="14"/>
    <x v="8"/>
    <x v="1"/>
    <x v="4"/>
    <x v="2"/>
    <x v="1"/>
    <n v="19200"/>
    <n v="8"/>
    <n v="4"/>
    <n v="5"/>
    <x v="2"/>
  </r>
  <r>
    <x v="313"/>
    <s v="12/05/2025"/>
    <x v="19"/>
    <x v="8"/>
    <x v="1"/>
    <x v="1"/>
    <x v="3"/>
    <x v="3"/>
    <n v="10920"/>
    <n v="4"/>
    <n v="4.0999999999999996"/>
    <n v="7"/>
    <x v="0"/>
  </r>
  <r>
    <x v="314"/>
    <s v="21/03/2025"/>
    <x v="5"/>
    <x v="14"/>
    <x v="2"/>
    <x v="4"/>
    <x v="1"/>
    <x v="3"/>
    <n v="257243"/>
    <n v="7"/>
    <n v="4.2"/>
    <n v="5"/>
    <x v="6"/>
  </r>
  <r>
    <x v="315"/>
    <s v="14/10/2025"/>
    <x v="13"/>
    <x v="13"/>
    <x v="4"/>
    <x v="3"/>
    <x v="0"/>
    <x v="2"/>
    <n v="12048"/>
    <n v="8"/>
    <n v="4.5"/>
    <n v="2"/>
    <x v="1"/>
  </r>
  <r>
    <x v="316"/>
    <s v="23/06/2025"/>
    <x v="9"/>
    <x v="5"/>
    <x v="4"/>
    <x v="0"/>
    <x v="3"/>
    <x v="0"/>
    <n v="1843"/>
    <n v="1"/>
    <n v="4"/>
    <n v="7"/>
    <x v="9"/>
  </r>
  <r>
    <x v="317"/>
    <s v="08/11/2025"/>
    <x v="1"/>
    <x v="14"/>
    <x v="2"/>
    <x v="1"/>
    <x v="1"/>
    <x v="3"/>
    <n v="55013"/>
    <n v="1"/>
    <n v="4.0999999999999996"/>
    <n v="1"/>
    <x v="11"/>
  </r>
  <r>
    <x v="318"/>
    <s v="03/12/2025"/>
    <x v="2"/>
    <x v="10"/>
    <x v="0"/>
    <x v="2"/>
    <x v="0"/>
    <x v="2"/>
    <n v="3490"/>
    <n v="5"/>
    <n v="4.5"/>
    <n v="3"/>
    <x v="8"/>
  </r>
  <r>
    <x v="319"/>
    <s v="22/05/2025"/>
    <x v="9"/>
    <x v="17"/>
    <x v="4"/>
    <x v="5"/>
    <x v="3"/>
    <x v="1"/>
    <n v="13076"/>
    <n v="7"/>
    <n v="4.0999999999999996"/>
    <n v="2"/>
    <x v="0"/>
  </r>
  <r>
    <x v="320"/>
    <s v="26/04/2025"/>
    <x v="10"/>
    <x v="16"/>
    <x v="2"/>
    <x v="0"/>
    <x v="3"/>
    <x v="1"/>
    <n v="311416"/>
    <n v="4"/>
    <n v="3.5"/>
    <n v="2"/>
    <x v="2"/>
  </r>
  <r>
    <x v="321"/>
    <s v="03/10/2025"/>
    <x v="17"/>
    <x v="20"/>
    <x v="0"/>
    <x v="1"/>
    <x v="1"/>
    <x v="2"/>
    <n v="8605"/>
    <n v="5"/>
    <n v="4.5999999999999996"/>
    <n v="6"/>
    <x v="1"/>
  </r>
  <r>
    <x v="322"/>
    <s v="13/05/2025"/>
    <x v="11"/>
    <x v="3"/>
    <x v="3"/>
    <x v="4"/>
    <x v="3"/>
    <x v="2"/>
    <n v="6572"/>
    <n v="2"/>
    <n v="4.9000000000000004"/>
    <n v="1"/>
    <x v="0"/>
  </r>
  <r>
    <x v="323"/>
    <s v="08/02/2025"/>
    <x v="14"/>
    <x v="4"/>
    <x v="3"/>
    <x v="1"/>
    <x v="0"/>
    <x v="0"/>
    <n v="7470"/>
    <n v="3"/>
    <n v="3.7"/>
    <n v="4"/>
    <x v="7"/>
  </r>
  <r>
    <x v="324"/>
    <s v="16/04/2025"/>
    <x v="9"/>
    <x v="13"/>
    <x v="4"/>
    <x v="1"/>
    <x v="1"/>
    <x v="2"/>
    <n v="5088"/>
    <n v="4"/>
    <n v="4.5999999999999996"/>
    <n v="2"/>
    <x v="2"/>
  </r>
  <r>
    <x v="325"/>
    <s v="04/09/2025"/>
    <x v="5"/>
    <x v="1"/>
    <x v="1"/>
    <x v="4"/>
    <x v="0"/>
    <x v="2"/>
    <n v="31806"/>
    <n v="6"/>
    <n v="4.0999999999999996"/>
    <n v="5"/>
    <x v="5"/>
  </r>
  <r>
    <x v="326"/>
    <s v="02/09/2025"/>
    <x v="18"/>
    <x v="8"/>
    <x v="1"/>
    <x v="1"/>
    <x v="2"/>
    <x v="2"/>
    <n v="8290"/>
    <n v="1"/>
    <n v="5"/>
    <n v="8"/>
    <x v="5"/>
  </r>
  <r>
    <x v="327"/>
    <s v="25/10/2025"/>
    <x v="11"/>
    <x v="5"/>
    <x v="4"/>
    <x v="3"/>
    <x v="3"/>
    <x v="1"/>
    <n v="3462"/>
    <n v="2"/>
    <n v="4.2"/>
    <n v="4"/>
    <x v="1"/>
  </r>
  <r>
    <x v="328"/>
    <s v="06/08/2025"/>
    <x v="6"/>
    <x v="5"/>
    <x v="4"/>
    <x v="1"/>
    <x v="0"/>
    <x v="2"/>
    <n v="7096"/>
    <n v="4"/>
    <n v="4"/>
    <n v="3"/>
    <x v="3"/>
  </r>
  <r>
    <x v="329"/>
    <s v="12/10/2025"/>
    <x v="16"/>
    <x v="2"/>
    <x v="2"/>
    <x v="3"/>
    <x v="0"/>
    <x v="1"/>
    <n v="151312"/>
    <n v="7"/>
    <n v="4.7"/>
    <n v="3"/>
    <x v="1"/>
  </r>
  <r>
    <x v="330"/>
    <s v="09/05/2025"/>
    <x v="7"/>
    <x v="4"/>
    <x v="3"/>
    <x v="3"/>
    <x v="3"/>
    <x v="1"/>
    <n v="1191"/>
    <n v="1"/>
    <n v="4.7"/>
    <n v="8"/>
    <x v="0"/>
  </r>
  <r>
    <x v="331"/>
    <s v="14/10/2025"/>
    <x v="6"/>
    <x v="16"/>
    <x v="2"/>
    <x v="5"/>
    <x v="0"/>
    <x v="1"/>
    <n v="282350"/>
    <n v="5"/>
    <n v="4.8"/>
    <n v="4"/>
    <x v="1"/>
  </r>
  <r>
    <x v="332"/>
    <s v="11/12/2025"/>
    <x v="1"/>
    <x v="16"/>
    <x v="2"/>
    <x v="1"/>
    <x v="3"/>
    <x v="3"/>
    <n v="419576"/>
    <n v="8"/>
    <n v="4"/>
    <n v="3"/>
    <x v="8"/>
  </r>
  <r>
    <x v="333"/>
    <s v="06/02/2025"/>
    <x v="4"/>
    <x v="8"/>
    <x v="1"/>
    <x v="1"/>
    <x v="1"/>
    <x v="1"/>
    <n v="11982"/>
    <n v="2"/>
    <n v="4.4000000000000004"/>
    <n v="5"/>
    <x v="7"/>
  </r>
  <r>
    <x v="334"/>
    <s v="28/10/2025"/>
    <x v="9"/>
    <x v="4"/>
    <x v="3"/>
    <x v="4"/>
    <x v="0"/>
    <x v="3"/>
    <n v="7112"/>
    <n v="8"/>
    <n v="4.5"/>
    <n v="5"/>
    <x v="1"/>
  </r>
  <r>
    <x v="335"/>
    <s v="02/02/2025"/>
    <x v="7"/>
    <x v="0"/>
    <x v="0"/>
    <x v="2"/>
    <x v="0"/>
    <x v="2"/>
    <n v="11384"/>
    <n v="8"/>
    <n v="4.5999999999999996"/>
    <n v="2"/>
    <x v="7"/>
  </r>
  <r>
    <x v="336"/>
    <s v="28/04/2025"/>
    <x v="0"/>
    <x v="4"/>
    <x v="3"/>
    <x v="0"/>
    <x v="3"/>
    <x v="1"/>
    <n v="6940"/>
    <n v="4"/>
    <n v="4.0999999999999996"/>
    <n v="3"/>
    <x v="2"/>
  </r>
  <r>
    <x v="337"/>
    <s v="04/10/2025"/>
    <x v="6"/>
    <x v="11"/>
    <x v="3"/>
    <x v="3"/>
    <x v="3"/>
    <x v="1"/>
    <n v="25585"/>
    <n v="5"/>
    <n v="4.3"/>
    <n v="8"/>
    <x v="1"/>
  </r>
  <r>
    <x v="338"/>
    <s v="15/02/2025"/>
    <x v="12"/>
    <x v="18"/>
    <x v="3"/>
    <x v="4"/>
    <x v="3"/>
    <x v="1"/>
    <n v="22624"/>
    <n v="8"/>
    <n v="3.7"/>
    <n v="1"/>
    <x v="7"/>
  </r>
  <r>
    <x v="339"/>
    <s v="19/12/2025"/>
    <x v="10"/>
    <x v="3"/>
    <x v="3"/>
    <x v="2"/>
    <x v="0"/>
    <x v="3"/>
    <n v="33808"/>
    <n v="8"/>
    <n v="4.3"/>
    <n v="1"/>
    <x v="8"/>
  </r>
  <r>
    <x v="340"/>
    <s v="22/07/2025"/>
    <x v="12"/>
    <x v="8"/>
    <x v="1"/>
    <x v="5"/>
    <x v="3"/>
    <x v="1"/>
    <n v="20432"/>
    <n v="4"/>
    <n v="3.3"/>
    <n v="4"/>
    <x v="4"/>
  </r>
  <r>
    <x v="341"/>
    <s v="31/07/2025"/>
    <x v="11"/>
    <x v="6"/>
    <x v="1"/>
    <x v="1"/>
    <x v="1"/>
    <x v="0"/>
    <n v="10432"/>
    <n v="4"/>
    <n v="4.3"/>
    <n v="8"/>
    <x v="4"/>
  </r>
  <r>
    <x v="342"/>
    <s v="19/03/2025"/>
    <x v="0"/>
    <x v="14"/>
    <x v="2"/>
    <x v="4"/>
    <x v="2"/>
    <x v="0"/>
    <n v="26871"/>
    <n v="1"/>
    <n v="3.7"/>
    <n v="8"/>
    <x v="6"/>
  </r>
  <r>
    <x v="343"/>
    <s v="22/04/2025"/>
    <x v="18"/>
    <x v="15"/>
    <x v="0"/>
    <x v="0"/>
    <x v="0"/>
    <x v="2"/>
    <n v="6960"/>
    <n v="6"/>
    <n v="4.5"/>
    <n v="1"/>
    <x v="2"/>
  </r>
  <r>
    <x v="344"/>
    <s v="06/02/2025"/>
    <x v="5"/>
    <x v="12"/>
    <x v="2"/>
    <x v="3"/>
    <x v="0"/>
    <x v="2"/>
    <n v="282224"/>
    <n v="8"/>
    <n v="3.4"/>
    <n v="4"/>
    <x v="7"/>
  </r>
  <r>
    <x v="345"/>
    <s v="18/02/2025"/>
    <x v="10"/>
    <x v="5"/>
    <x v="4"/>
    <x v="5"/>
    <x v="2"/>
    <x v="1"/>
    <n v="7372"/>
    <n v="4"/>
    <n v="4.3"/>
    <n v="1"/>
    <x v="7"/>
  </r>
  <r>
    <x v="346"/>
    <s v="12/04/2025"/>
    <x v="1"/>
    <x v="4"/>
    <x v="3"/>
    <x v="2"/>
    <x v="2"/>
    <x v="3"/>
    <n v="15798"/>
    <n v="6"/>
    <n v="4"/>
    <n v="1"/>
    <x v="2"/>
  </r>
  <r>
    <x v="347"/>
    <s v="22/01/2025"/>
    <x v="4"/>
    <x v="17"/>
    <x v="4"/>
    <x v="2"/>
    <x v="2"/>
    <x v="2"/>
    <n v="7072"/>
    <n v="8"/>
    <n v="3.5"/>
    <n v="2"/>
    <x v="10"/>
  </r>
  <r>
    <x v="348"/>
    <s v="26/12/2025"/>
    <x v="17"/>
    <x v="2"/>
    <x v="2"/>
    <x v="1"/>
    <x v="0"/>
    <x v="2"/>
    <n v="65994"/>
    <n v="2"/>
    <n v="4.5999999999999996"/>
    <n v="6"/>
    <x v="8"/>
  </r>
  <r>
    <x v="349"/>
    <s v="10/03/2025"/>
    <x v="19"/>
    <x v="4"/>
    <x v="3"/>
    <x v="5"/>
    <x v="0"/>
    <x v="1"/>
    <n v="26395"/>
    <n v="5"/>
    <n v="4.2"/>
    <n v="8"/>
    <x v="6"/>
  </r>
  <r>
    <x v="350"/>
    <s v="21/05/2025"/>
    <x v="17"/>
    <x v="12"/>
    <x v="2"/>
    <x v="0"/>
    <x v="1"/>
    <x v="0"/>
    <n v="68457"/>
    <n v="3"/>
    <n v="4.7"/>
    <n v="6"/>
    <x v="0"/>
  </r>
  <r>
    <x v="351"/>
    <s v="14/11/2025"/>
    <x v="10"/>
    <x v="20"/>
    <x v="0"/>
    <x v="4"/>
    <x v="3"/>
    <x v="1"/>
    <n v="3824"/>
    <n v="4"/>
    <n v="4.0999999999999996"/>
    <n v="8"/>
    <x v="11"/>
  </r>
  <r>
    <x v="352"/>
    <s v="26/02/2025"/>
    <x v="7"/>
    <x v="4"/>
    <x v="3"/>
    <x v="3"/>
    <x v="0"/>
    <x v="2"/>
    <n v="3526"/>
    <n v="2"/>
    <n v="4.8"/>
    <n v="4"/>
    <x v="7"/>
  </r>
  <r>
    <x v="353"/>
    <s v="03/12/2025"/>
    <x v="0"/>
    <x v="15"/>
    <x v="0"/>
    <x v="4"/>
    <x v="1"/>
    <x v="2"/>
    <n v="11008"/>
    <n v="8"/>
    <n v="4.3"/>
    <n v="2"/>
    <x v="8"/>
  </r>
  <r>
    <x v="354"/>
    <s v="04/07/2025"/>
    <x v="3"/>
    <x v="3"/>
    <x v="3"/>
    <x v="0"/>
    <x v="0"/>
    <x v="2"/>
    <n v="20139"/>
    <n v="7"/>
    <n v="3.3"/>
    <n v="2"/>
    <x v="4"/>
  </r>
  <r>
    <x v="355"/>
    <s v="30/09/2025"/>
    <x v="10"/>
    <x v="10"/>
    <x v="0"/>
    <x v="1"/>
    <x v="1"/>
    <x v="2"/>
    <n v="4816"/>
    <n v="7"/>
    <n v="4.3"/>
    <n v="3"/>
    <x v="5"/>
  </r>
  <r>
    <x v="356"/>
    <s v="12/12/2025"/>
    <x v="1"/>
    <x v="6"/>
    <x v="1"/>
    <x v="5"/>
    <x v="1"/>
    <x v="1"/>
    <n v="30040"/>
    <n v="8"/>
    <n v="4.2"/>
    <n v="6"/>
    <x v="8"/>
  </r>
  <r>
    <x v="357"/>
    <s v="16/06/2025"/>
    <x v="5"/>
    <x v="19"/>
    <x v="2"/>
    <x v="5"/>
    <x v="3"/>
    <x v="1"/>
    <n v="269370"/>
    <n v="6"/>
    <n v="4.2"/>
    <n v="4"/>
    <x v="9"/>
  </r>
  <r>
    <x v="358"/>
    <s v="23/07/2025"/>
    <x v="0"/>
    <x v="11"/>
    <x v="3"/>
    <x v="2"/>
    <x v="0"/>
    <x v="0"/>
    <n v="5580"/>
    <n v="1"/>
    <n v="4.0999999999999996"/>
    <n v="5"/>
    <x v="4"/>
  </r>
  <r>
    <x v="359"/>
    <s v="20/12/2025"/>
    <x v="17"/>
    <x v="14"/>
    <x v="2"/>
    <x v="2"/>
    <x v="0"/>
    <x v="0"/>
    <n v="377090"/>
    <n v="5"/>
    <n v="3.5"/>
    <n v="1"/>
    <x v="8"/>
  </r>
  <r>
    <x v="360"/>
    <s v="26/10/2025"/>
    <x v="9"/>
    <x v="16"/>
    <x v="2"/>
    <x v="1"/>
    <x v="3"/>
    <x v="3"/>
    <n v="167444"/>
    <n v="4"/>
    <n v="3.9"/>
    <n v="4"/>
    <x v="1"/>
  </r>
  <r>
    <x v="361"/>
    <s v="20/12/2025"/>
    <x v="18"/>
    <x v="5"/>
    <x v="4"/>
    <x v="2"/>
    <x v="1"/>
    <x v="3"/>
    <n v="2960"/>
    <n v="2"/>
    <n v="3.3"/>
    <n v="1"/>
    <x v="8"/>
  </r>
  <r>
    <x v="362"/>
    <s v="01/12/2025"/>
    <x v="18"/>
    <x v="10"/>
    <x v="0"/>
    <x v="5"/>
    <x v="0"/>
    <x v="0"/>
    <n v="1598"/>
    <n v="1"/>
    <n v="3.3"/>
    <n v="3"/>
    <x v="8"/>
  </r>
  <r>
    <x v="363"/>
    <s v="17/08/2025"/>
    <x v="14"/>
    <x v="15"/>
    <x v="0"/>
    <x v="5"/>
    <x v="2"/>
    <x v="3"/>
    <n v="1508"/>
    <n v="2"/>
    <n v="3.4"/>
    <n v="2"/>
    <x v="3"/>
  </r>
  <r>
    <x v="364"/>
    <s v="24/07/2025"/>
    <x v="6"/>
    <x v="14"/>
    <x v="2"/>
    <x v="4"/>
    <x v="0"/>
    <x v="0"/>
    <n v="141239"/>
    <n v="7"/>
    <n v="3.6"/>
    <n v="7"/>
    <x v="4"/>
  </r>
  <r>
    <x v="365"/>
    <s v="09/08/2025"/>
    <x v="18"/>
    <x v="20"/>
    <x v="0"/>
    <x v="2"/>
    <x v="2"/>
    <x v="1"/>
    <n v="10212"/>
    <n v="6"/>
    <n v="3.9"/>
    <n v="4"/>
    <x v="3"/>
  </r>
  <r>
    <x v="366"/>
    <s v="12/11/2025"/>
    <x v="8"/>
    <x v="13"/>
    <x v="4"/>
    <x v="1"/>
    <x v="2"/>
    <x v="2"/>
    <n v="6776"/>
    <n v="8"/>
    <n v="3.6"/>
    <n v="6"/>
    <x v="11"/>
  </r>
  <r>
    <x v="367"/>
    <s v="14/11/2025"/>
    <x v="18"/>
    <x v="10"/>
    <x v="0"/>
    <x v="4"/>
    <x v="0"/>
    <x v="0"/>
    <n v="2667"/>
    <n v="3"/>
    <n v="4"/>
    <n v="1"/>
    <x v="11"/>
  </r>
  <r>
    <x v="368"/>
    <s v="08/10/2025"/>
    <x v="11"/>
    <x v="6"/>
    <x v="1"/>
    <x v="4"/>
    <x v="2"/>
    <x v="1"/>
    <n v="82808"/>
    <n v="8"/>
    <n v="4.8"/>
    <n v="1"/>
    <x v="1"/>
  </r>
  <r>
    <x v="369"/>
    <s v="28/01/2025"/>
    <x v="7"/>
    <x v="13"/>
    <x v="4"/>
    <x v="0"/>
    <x v="3"/>
    <x v="3"/>
    <n v="2272"/>
    <n v="8"/>
    <n v="3.7"/>
    <n v="6"/>
    <x v="10"/>
  </r>
  <r>
    <x v="370"/>
    <s v="18/09/2025"/>
    <x v="10"/>
    <x v="5"/>
    <x v="4"/>
    <x v="1"/>
    <x v="2"/>
    <x v="2"/>
    <n v="4470"/>
    <n v="2"/>
    <n v="3.5"/>
    <n v="8"/>
    <x v="5"/>
  </r>
  <r>
    <x v="371"/>
    <s v="20/06/2025"/>
    <x v="13"/>
    <x v="13"/>
    <x v="4"/>
    <x v="5"/>
    <x v="3"/>
    <x v="2"/>
    <n v="7144"/>
    <n v="8"/>
    <n v="3.8"/>
    <n v="5"/>
    <x v="9"/>
  </r>
  <r>
    <x v="372"/>
    <s v="16/01/2025"/>
    <x v="12"/>
    <x v="12"/>
    <x v="2"/>
    <x v="1"/>
    <x v="0"/>
    <x v="3"/>
    <n v="236490"/>
    <n v="5"/>
    <n v="3.4"/>
    <n v="7"/>
    <x v="10"/>
  </r>
  <r>
    <x v="373"/>
    <s v="07/08/2025"/>
    <x v="6"/>
    <x v="7"/>
    <x v="4"/>
    <x v="5"/>
    <x v="0"/>
    <x v="0"/>
    <n v="7990"/>
    <n v="5"/>
    <n v="3.6"/>
    <n v="3"/>
    <x v="3"/>
  </r>
  <r>
    <x v="374"/>
    <s v="11/03/2025"/>
    <x v="1"/>
    <x v="19"/>
    <x v="2"/>
    <x v="2"/>
    <x v="0"/>
    <x v="2"/>
    <n v="308798"/>
    <n v="7"/>
    <n v="4.2"/>
    <n v="2"/>
    <x v="6"/>
  </r>
  <r>
    <x v="375"/>
    <s v="30/07/2025"/>
    <x v="4"/>
    <x v="12"/>
    <x v="2"/>
    <x v="5"/>
    <x v="3"/>
    <x v="0"/>
    <n v="112085"/>
    <n v="5"/>
    <n v="3.4"/>
    <n v="1"/>
    <x v="4"/>
  </r>
  <r>
    <x v="376"/>
    <s v="29/04/2025"/>
    <x v="15"/>
    <x v="9"/>
    <x v="1"/>
    <x v="4"/>
    <x v="1"/>
    <x v="3"/>
    <n v="9030"/>
    <n v="1"/>
    <n v="4.7"/>
    <n v="8"/>
    <x v="2"/>
  </r>
  <r>
    <x v="377"/>
    <s v="25/03/2025"/>
    <x v="19"/>
    <x v="18"/>
    <x v="3"/>
    <x v="4"/>
    <x v="2"/>
    <x v="0"/>
    <n v="3288"/>
    <n v="4"/>
    <n v="4.9000000000000004"/>
    <n v="4"/>
    <x v="6"/>
  </r>
  <r>
    <x v="378"/>
    <s v="19/12/2025"/>
    <x v="18"/>
    <x v="11"/>
    <x v="3"/>
    <x v="3"/>
    <x v="2"/>
    <x v="2"/>
    <n v="24096"/>
    <n v="6"/>
    <n v="4.3"/>
    <n v="7"/>
    <x v="8"/>
  </r>
  <r>
    <x v="379"/>
    <s v="22/01/2025"/>
    <x v="19"/>
    <x v="11"/>
    <x v="3"/>
    <x v="2"/>
    <x v="1"/>
    <x v="3"/>
    <n v="4084"/>
    <n v="4"/>
    <n v="3.9"/>
    <n v="1"/>
    <x v="10"/>
  </r>
  <r>
    <x v="380"/>
    <s v="25/08/2025"/>
    <x v="17"/>
    <x v="16"/>
    <x v="2"/>
    <x v="0"/>
    <x v="2"/>
    <x v="0"/>
    <n v="248592"/>
    <n v="3"/>
    <n v="4.8"/>
    <n v="8"/>
    <x v="3"/>
  </r>
  <r>
    <x v="381"/>
    <s v="21/07/2025"/>
    <x v="17"/>
    <x v="9"/>
    <x v="1"/>
    <x v="0"/>
    <x v="3"/>
    <x v="1"/>
    <n v="57631"/>
    <n v="7"/>
    <n v="4.3"/>
    <n v="4"/>
    <x v="4"/>
  </r>
  <r>
    <x v="382"/>
    <s v="16/02/2025"/>
    <x v="5"/>
    <x v="17"/>
    <x v="4"/>
    <x v="5"/>
    <x v="1"/>
    <x v="2"/>
    <n v="4180"/>
    <n v="2"/>
    <n v="4.5"/>
    <n v="3"/>
    <x v="7"/>
  </r>
  <r>
    <x v="383"/>
    <s v="17/10/2025"/>
    <x v="3"/>
    <x v="13"/>
    <x v="4"/>
    <x v="1"/>
    <x v="0"/>
    <x v="2"/>
    <n v="2526"/>
    <n v="3"/>
    <n v="3.8"/>
    <n v="8"/>
    <x v="1"/>
  </r>
  <r>
    <x v="384"/>
    <s v="02/01/2025"/>
    <x v="13"/>
    <x v="7"/>
    <x v="4"/>
    <x v="4"/>
    <x v="1"/>
    <x v="3"/>
    <n v="10640"/>
    <n v="5"/>
    <n v="4.7"/>
    <n v="8"/>
    <x v="10"/>
  </r>
  <r>
    <x v="385"/>
    <s v="10/02/2025"/>
    <x v="2"/>
    <x v="11"/>
    <x v="3"/>
    <x v="4"/>
    <x v="0"/>
    <x v="2"/>
    <n v="5777"/>
    <n v="1"/>
    <n v="4.2"/>
    <n v="4"/>
    <x v="7"/>
  </r>
  <r>
    <x v="386"/>
    <s v="16/03/2025"/>
    <x v="1"/>
    <x v="14"/>
    <x v="2"/>
    <x v="1"/>
    <x v="3"/>
    <x v="0"/>
    <n v="45899"/>
    <n v="1"/>
    <n v="3.4"/>
    <n v="3"/>
    <x v="6"/>
  </r>
  <r>
    <x v="387"/>
    <s v="19/01/2025"/>
    <x v="3"/>
    <x v="4"/>
    <x v="3"/>
    <x v="3"/>
    <x v="0"/>
    <x v="2"/>
    <n v="7608"/>
    <n v="2"/>
    <n v="4.5999999999999996"/>
    <n v="2"/>
    <x v="10"/>
  </r>
  <r>
    <x v="388"/>
    <s v="27/09/2025"/>
    <x v="14"/>
    <x v="16"/>
    <x v="2"/>
    <x v="1"/>
    <x v="3"/>
    <x v="3"/>
    <n v="209300"/>
    <n v="7"/>
    <n v="3.4"/>
    <n v="2"/>
    <x v="5"/>
  </r>
  <r>
    <x v="389"/>
    <s v="13/05/2025"/>
    <x v="4"/>
    <x v="6"/>
    <x v="1"/>
    <x v="4"/>
    <x v="3"/>
    <x v="0"/>
    <n v="53724"/>
    <n v="6"/>
    <n v="4.0999999999999996"/>
    <n v="3"/>
    <x v="0"/>
  </r>
  <r>
    <x v="390"/>
    <s v="13/01/2025"/>
    <x v="15"/>
    <x v="0"/>
    <x v="0"/>
    <x v="5"/>
    <x v="0"/>
    <x v="2"/>
    <n v="12640"/>
    <n v="8"/>
    <n v="3.9"/>
    <n v="6"/>
    <x v="10"/>
  </r>
  <r>
    <x v="391"/>
    <s v="11/05/2025"/>
    <x v="18"/>
    <x v="13"/>
    <x v="4"/>
    <x v="2"/>
    <x v="1"/>
    <x v="2"/>
    <n v="2958"/>
    <n v="2"/>
    <n v="4.5999999999999996"/>
    <n v="2"/>
    <x v="0"/>
  </r>
  <r>
    <x v="392"/>
    <s v="19/06/2025"/>
    <x v="17"/>
    <x v="7"/>
    <x v="4"/>
    <x v="5"/>
    <x v="3"/>
    <x v="3"/>
    <n v="13272"/>
    <n v="6"/>
    <n v="3.4"/>
    <n v="3"/>
    <x v="9"/>
  </r>
  <r>
    <x v="393"/>
    <s v="24/09/2025"/>
    <x v="15"/>
    <x v="3"/>
    <x v="3"/>
    <x v="0"/>
    <x v="0"/>
    <x v="1"/>
    <n v="25445"/>
    <n v="5"/>
    <n v="3.6"/>
    <n v="6"/>
    <x v="5"/>
  </r>
  <r>
    <x v="394"/>
    <s v="12/07/2025"/>
    <x v="18"/>
    <x v="20"/>
    <x v="0"/>
    <x v="1"/>
    <x v="2"/>
    <x v="1"/>
    <n v="4407"/>
    <n v="3"/>
    <n v="4.8"/>
    <n v="5"/>
    <x v="4"/>
  </r>
  <r>
    <x v="395"/>
    <s v="12/09/2025"/>
    <x v="15"/>
    <x v="3"/>
    <x v="3"/>
    <x v="0"/>
    <x v="0"/>
    <x v="2"/>
    <n v="9880"/>
    <n v="4"/>
    <n v="3.7"/>
    <n v="2"/>
    <x v="5"/>
  </r>
  <r>
    <x v="396"/>
    <s v="05/09/2025"/>
    <x v="7"/>
    <x v="3"/>
    <x v="3"/>
    <x v="5"/>
    <x v="0"/>
    <x v="0"/>
    <n v="14967"/>
    <n v="3"/>
    <n v="4.5999999999999996"/>
    <n v="3"/>
    <x v="5"/>
  </r>
  <r>
    <x v="397"/>
    <s v="18/07/2025"/>
    <x v="7"/>
    <x v="15"/>
    <x v="0"/>
    <x v="5"/>
    <x v="3"/>
    <x v="2"/>
    <n v="616"/>
    <n v="2"/>
    <n v="3.8"/>
    <n v="1"/>
    <x v="4"/>
  </r>
  <r>
    <x v="398"/>
    <s v="24/11/2025"/>
    <x v="7"/>
    <x v="6"/>
    <x v="1"/>
    <x v="2"/>
    <x v="0"/>
    <x v="0"/>
    <n v="21328"/>
    <n v="4"/>
    <n v="4.2"/>
    <n v="8"/>
    <x v="11"/>
  </r>
  <r>
    <x v="399"/>
    <s v="08/01/2025"/>
    <x v="6"/>
    <x v="14"/>
    <x v="2"/>
    <x v="4"/>
    <x v="0"/>
    <x v="2"/>
    <n v="96832"/>
    <n v="2"/>
    <n v="3.7"/>
    <n v="5"/>
    <x v="10"/>
  </r>
  <r>
    <x v="400"/>
    <s v="23/06/2025"/>
    <x v="2"/>
    <x v="19"/>
    <x v="2"/>
    <x v="0"/>
    <x v="1"/>
    <x v="3"/>
    <n v="50400"/>
    <n v="8"/>
    <n v="3.3"/>
    <n v="7"/>
    <x v="9"/>
  </r>
  <r>
    <x v="401"/>
    <s v="12/11/2025"/>
    <x v="6"/>
    <x v="5"/>
    <x v="4"/>
    <x v="4"/>
    <x v="2"/>
    <x v="3"/>
    <n v="9666"/>
    <n v="6"/>
    <n v="5"/>
    <n v="8"/>
    <x v="11"/>
  </r>
  <r>
    <x v="402"/>
    <s v="08/06/2025"/>
    <x v="5"/>
    <x v="15"/>
    <x v="0"/>
    <x v="4"/>
    <x v="3"/>
    <x v="1"/>
    <n v="10104"/>
    <n v="8"/>
    <n v="3.7"/>
    <n v="6"/>
    <x v="9"/>
  </r>
  <r>
    <x v="403"/>
    <s v="16/01/2025"/>
    <x v="15"/>
    <x v="11"/>
    <x v="3"/>
    <x v="5"/>
    <x v="0"/>
    <x v="2"/>
    <n v="9242"/>
    <n v="2"/>
    <n v="4.7"/>
    <n v="5"/>
    <x v="10"/>
  </r>
  <r>
    <x v="404"/>
    <s v="16/06/2025"/>
    <x v="10"/>
    <x v="3"/>
    <x v="3"/>
    <x v="4"/>
    <x v="1"/>
    <x v="3"/>
    <n v="7966"/>
    <n v="2"/>
    <n v="3.9"/>
    <n v="4"/>
    <x v="9"/>
  </r>
  <r>
    <x v="405"/>
    <s v="17/04/2025"/>
    <x v="6"/>
    <x v="20"/>
    <x v="0"/>
    <x v="3"/>
    <x v="2"/>
    <x v="3"/>
    <n v="8337"/>
    <n v="7"/>
    <n v="4.4000000000000004"/>
    <n v="2"/>
    <x v="2"/>
  </r>
  <r>
    <x v="406"/>
    <s v="19/02/2025"/>
    <x v="18"/>
    <x v="19"/>
    <x v="2"/>
    <x v="3"/>
    <x v="2"/>
    <x v="2"/>
    <n v="445504"/>
    <n v="8"/>
    <n v="3.4"/>
    <n v="7"/>
    <x v="7"/>
  </r>
  <r>
    <x v="407"/>
    <s v="25/10/2025"/>
    <x v="19"/>
    <x v="7"/>
    <x v="4"/>
    <x v="4"/>
    <x v="3"/>
    <x v="1"/>
    <n v="861"/>
    <n v="1"/>
    <n v="3.9"/>
    <n v="8"/>
    <x v="1"/>
  </r>
  <r>
    <x v="408"/>
    <s v="11/08/2025"/>
    <x v="2"/>
    <x v="6"/>
    <x v="1"/>
    <x v="2"/>
    <x v="2"/>
    <x v="2"/>
    <n v="44532"/>
    <n v="6"/>
    <n v="4.7"/>
    <n v="5"/>
    <x v="3"/>
  </r>
  <r>
    <x v="409"/>
    <s v="26/02/2025"/>
    <x v="5"/>
    <x v="6"/>
    <x v="1"/>
    <x v="3"/>
    <x v="1"/>
    <x v="0"/>
    <n v="36295"/>
    <n v="5"/>
    <n v="4.3"/>
    <n v="7"/>
    <x v="7"/>
  </r>
  <r>
    <x v="410"/>
    <s v="13/03/2025"/>
    <x v="8"/>
    <x v="5"/>
    <x v="4"/>
    <x v="0"/>
    <x v="2"/>
    <x v="2"/>
    <n v="7300"/>
    <n v="4"/>
    <n v="3.7"/>
    <n v="3"/>
    <x v="6"/>
  </r>
  <r>
    <x v="411"/>
    <s v="03/12/2025"/>
    <x v="4"/>
    <x v="5"/>
    <x v="4"/>
    <x v="4"/>
    <x v="1"/>
    <x v="3"/>
    <n v="4172"/>
    <n v="7"/>
    <n v="4.7"/>
    <n v="7"/>
    <x v="8"/>
  </r>
  <r>
    <x v="412"/>
    <s v="16/07/2025"/>
    <x v="12"/>
    <x v="8"/>
    <x v="1"/>
    <x v="2"/>
    <x v="1"/>
    <x v="1"/>
    <n v="5526"/>
    <n v="6"/>
    <n v="4.2"/>
    <n v="4"/>
    <x v="4"/>
  </r>
  <r>
    <x v="413"/>
    <s v="18/10/2025"/>
    <x v="8"/>
    <x v="0"/>
    <x v="0"/>
    <x v="1"/>
    <x v="3"/>
    <x v="3"/>
    <n v="13944"/>
    <n v="8"/>
    <n v="4.9000000000000004"/>
    <n v="2"/>
    <x v="1"/>
  </r>
  <r>
    <x v="414"/>
    <s v="25/09/2025"/>
    <x v="4"/>
    <x v="1"/>
    <x v="1"/>
    <x v="0"/>
    <x v="3"/>
    <x v="2"/>
    <n v="19268"/>
    <n v="2"/>
    <n v="4.5999999999999996"/>
    <n v="5"/>
    <x v="5"/>
  </r>
  <r>
    <x v="415"/>
    <s v="20/09/2025"/>
    <x v="4"/>
    <x v="11"/>
    <x v="3"/>
    <x v="1"/>
    <x v="3"/>
    <x v="1"/>
    <n v="28728"/>
    <n v="8"/>
    <n v="3.7"/>
    <n v="1"/>
    <x v="5"/>
  </r>
  <r>
    <x v="416"/>
    <s v="24/10/2025"/>
    <x v="8"/>
    <x v="15"/>
    <x v="0"/>
    <x v="5"/>
    <x v="2"/>
    <x v="1"/>
    <n v="4419"/>
    <n v="3"/>
    <n v="3.7"/>
    <n v="2"/>
    <x v="1"/>
  </r>
  <r>
    <x v="417"/>
    <s v="12/11/2025"/>
    <x v="17"/>
    <x v="2"/>
    <x v="2"/>
    <x v="2"/>
    <x v="0"/>
    <x v="1"/>
    <n v="21805"/>
    <n v="5"/>
    <n v="3.5"/>
    <n v="3"/>
    <x v="11"/>
  </r>
  <r>
    <x v="418"/>
    <s v="03/04/2025"/>
    <x v="5"/>
    <x v="5"/>
    <x v="4"/>
    <x v="4"/>
    <x v="1"/>
    <x v="0"/>
    <n v="595"/>
    <n v="1"/>
    <n v="4.7"/>
    <n v="7"/>
    <x v="2"/>
  </r>
  <r>
    <x v="419"/>
    <s v="28/01/2025"/>
    <x v="10"/>
    <x v="13"/>
    <x v="4"/>
    <x v="4"/>
    <x v="1"/>
    <x v="3"/>
    <n v="2325"/>
    <n v="5"/>
    <n v="4.0999999999999996"/>
    <n v="8"/>
    <x v="10"/>
  </r>
  <r>
    <x v="420"/>
    <s v="16/03/2025"/>
    <x v="7"/>
    <x v="4"/>
    <x v="3"/>
    <x v="5"/>
    <x v="3"/>
    <x v="3"/>
    <n v="26803"/>
    <n v="7"/>
    <n v="3.8"/>
    <n v="1"/>
    <x v="6"/>
  </r>
  <r>
    <x v="421"/>
    <s v="21/06/2025"/>
    <x v="6"/>
    <x v="6"/>
    <x v="1"/>
    <x v="4"/>
    <x v="3"/>
    <x v="0"/>
    <n v="36040"/>
    <n v="5"/>
    <n v="4"/>
    <n v="4"/>
    <x v="9"/>
  </r>
  <r>
    <x v="422"/>
    <s v="06/01/2025"/>
    <x v="15"/>
    <x v="19"/>
    <x v="2"/>
    <x v="4"/>
    <x v="3"/>
    <x v="1"/>
    <n v="56403"/>
    <n v="1"/>
    <n v="3.4"/>
    <n v="8"/>
    <x v="10"/>
  </r>
  <r>
    <x v="423"/>
    <s v="13/01/2025"/>
    <x v="9"/>
    <x v="17"/>
    <x v="4"/>
    <x v="5"/>
    <x v="0"/>
    <x v="3"/>
    <n v="2276"/>
    <n v="2"/>
    <n v="4.5"/>
    <n v="2"/>
    <x v="10"/>
  </r>
  <r>
    <x v="424"/>
    <s v="26/02/2025"/>
    <x v="16"/>
    <x v="9"/>
    <x v="1"/>
    <x v="1"/>
    <x v="3"/>
    <x v="1"/>
    <n v="33795"/>
    <n v="3"/>
    <n v="4"/>
    <n v="5"/>
    <x v="7"/>
  </r>
  <r>
    <x v="425"/>
    <s v="22/05/2025"/>
    <x v="1"/>
    <x v="17"/>
    <x v="4"/>
    <x v="3"/>
    <x v="2"/>
    <x v="3"/>
    <n v="1841"/>
    <n v="1"/>
    <n v="4.9000000000000004"/>
    <n v="5"/>
    <x v="0"/>
  </r>
  <r>
    <x v="426"/>
    <s v="02/04/2025"/>
    <x v="17"/>
    <x v="5"/>
    <x v="4"/>
    <x v="1"/>
    <x v="3"/>
    <x v="2"/>
    <n v="6712"/>
    <n v="8"/>
    <n v="4.3"/>
    <n v="2"/>
    <x v="2"/>
  </r>
  <r>
    <x v="427"/>
    <s v="06/02/2025"/>
    <x v="5"/>
    <x v="0"/>
    <x v="0"/>
    <x v="2"/>
    <x v="0"/>
    <x v="1"/>
    <n v="6065"/>
    <n v="5"/>
    <n v="4.4000000000000004"/>
    <n v="1"/>
    <x v="7"/>
  </r>
  <r>
    <x v="428"/>
    <s v="21/09/2025"/>
    <x v="14"/>
    <x v="3"/>
    <x v="3"/>
    <x v="0"/>
    <x v="3"/>
    <x v="1"/>
    <n v="10192"/>
    <n v="8"/>
    <n v="3.6"/>
    <n v="7"/>
    <x v="5"/>
  </r>
  <r>
    <x v="429"/>
    <s v="29/01/2025"/>
    <x v="19"/>
    <x v="12"/>
    <x v="2"/>
    <x v="4"/>
    <x v="2"/>
    <x v="3"/>
    <n v="94144"/>
    <n v="2"/>
    <n v="4.5999999999999996"/>
    <n v="5"/>
    <x v="10"/>
  </r>
  <r>
    <x v="430"/>
    <s v="23/12/2025"/>
    <x v="8"/>
    <x v="13"/>
    <x v="4"/>
    <x v="0"/>
    <x v="0"/>
    <x v="2"/>
    <n v="12047"/>
    <n v="7"/>
    <n v="4"/>
    <n v="4"/>
    <x v="8"/>
  </r>
  <r>
    <x v="431"/>
    <s v="08/09/2025"/>
    <x v="0"/>
    <x v="9"/>
    <x v="1"/>
    <x v="0"/>
    <x v="3"/>
    <x v="2"/>
    <n v="66836"/>
    <n v="7"/>
    <n v="4.9000000000000004"/>
    <n v="8"/>
    <x v="5"/>
  </r>
  <r>
    <x v="432"/>
    <s v="27/07/2025"/>
    <x v="9"/>
    <x v="14"/>
    <x v="2"/>
    <x v="0"/>
    <x v="0"/>
    <x v="3"/>
    <n v="125158"/>
    <n v="2"/>
    <n v="4.5"/>
    <n v="4"/>
    <x v="4"/>
  </r>
  <r>
    <x v="433"/>
    <s v="13/11/2025"/>
    <x v="7"/>
    <x v="15"/>
    <x v="0"/>
    <x v="3"/>
    <x v="0"/>
    <x v="2"/>
    <n v="797"/>
    <n v="1"/>
    <n v="3.3"/>
    <n v="5"/>
    <x v="11"/>
  </r>
  <r>
    <x v="434"/>
    <s v="12/09/2025"/>
    <x v="6"/>
    <x v="0"/>
    <x v="0"/>
    <x v="5"/>
    <x v="0"/>
    <x v="1"/>
    <n v="1716"/>
    <n v="4"/>
    <n v="3.9"/>
    <n v="2"/>
    <x v="5"/>
  </r>
  <r>
    <x v="435"/>
    <s v="31/10/2025"/>
    <x v="15"/>
    <x v="17"/>
    <x v="4"/>
    <x v="5"/>
    <x v="0"/>
    <x v="3"/>
    <n v="1524"/>
    <n v="3"/>
    <n v="4.5999999999999996"/>
    <n v="3"/>
    <x v="1"/>
  </r>
  <r>
    <x v="436"/>
    <s v="10/03/2025"/>
    <x v="1"/>
    <x v="17"/>
    <x v="4"/>
    <x v="0"/>
    <x v="3"/>
    <x v="3"/>
    <n v="3580"/>
    <n v="2"/>
    <n v="3.3"/>
    <n v="1"/>
    <x v="6"/>
  </r>
  <r>
    <x v="437"/>
    <s v="16/04/2025"/>
    <x v="4"/>
    <x v="18"/>
    <x v="3"/>
    <x v="1"/>
    <x v="2"/>
    <x v="0"/>
    <n v="13167"/>
    <n v="3"/>
    <n v="3.6"/>
    <n v="3"/>
    <x v="2"/>
  </r>
  <r>
    <x v="438"/>
    <s v="18/11/2025"/>
    <x v="4"/>
    <x v="3"/>
    <x v="3"/>
    <x v="2"/>
    <x v="0"/>
    <x v="3"/>
    <n v="26340"/>
    <n v="5"/>
    <n v="3.5"/>
    <n v="2"/>
    <x v="11"/>
  </r>
  <r>
    <x v="439"/>
    <s v="28/01/2025"/>
    <x v="2"/>
    <x v="13"/>
    <x v="4"/>
    <x v="1"/>
    <x v="3"/>
    <x v="1"/>
    <n v="3444"/>
    <n v="4"/>
    <n v="3.5"/>
    <n v="1"/>
    <x v="10"/>
  </r>
  <r>
    <x v="440"/>
    <s v="09/05/2025"/>
    <x v="1"/>
    <x v="5"/>
    <x v="4"/>
    <x v="0"/>
    <x v="1"/>
    <x v="2"/>
    <n v="12636"/>
    <n v="6"/>
    <n v="4.9000000000000004"/>
    <n v="3"/>
    <x v="0"/>
  </r>
  <r>
    <x v="441"/>
    <s v="16/08/2025"/>
    <x v="13"/>
    <x v="10"/>
    <x v="0"/>
    <x v="1"/>
    <x v="1"/>
    <x v="0"/>
    <n v="6948"/>
    <n v="6"/>
    <n v="3.8"/>
    <n v="2"/>
    <x v="3"/>
  </r>
  <r>
    <x v="442"/>
    <s v="07/02/2025"/>
    <x v="1"/>
    <x v="18"/>
    <x v="3"/>
    <x v="3"/>
    <x v="3"/>
    <x v="0"/>
    <n v="34160"/>
    <n v="8"/>
    <n v="3.6"/>
    <n v="8"/>
    <x v="7"/>
  </r>
  <r>
    <x v="443"/>
    <s v="20/11/2025"/>
    <x v="11"/>
    <x v="18"/>
    <x v="3"/>
    <x v="4"/>
    <x v="2"/>
    <x v="3"/>
    <n v="10452"/>
    <n v="6"/>
    <n v="4.4000000000000004"/>
    <n v="1"/>
    <x v="11"/>
  </r>
  <r>
    <x v="444"/>
    <s v="29/03/2025"/>
    <x v="6"/>
    <x v="11"/>
    <x v="3"/>
    <x v="5"/>
    <x v="0"/>
    <x v="2"/>
    <n v="11904"/>
    <n v="6"/>
    <n v="4.9000000000000004"/>
    <n v="3"/>
    <x v="6"/>
  </r>
  <r>
    <x v="445"/>
    <s v="21/04/2025"/>
    <x v="6"/>
    <x v="11"/>
    <x v="3"/>
    <x v="4"/>
    <x v="0"/>
    <x v="2"/>
    <n v="33656"/>
    <n v="8"/>
    <n v="3.6"/>
    <n v="7"/>
    <x v="2"/>
  </r>
  <r>
    <x v="446"/>
    <s v="21/01/2025"/>
    <x v="17"/>
    <x v="3"/>
    <x v="3"/>
    <x v="3"/>
    <x v="0"/>
    <x v="2"/>
    <n v="40400"/>
    <n v="8"/>
    <n v="4.0999999999999996"/>
    <n v="2"/>
    <x v="10"/>
  </r>
  <r>
    <x v="447"/>
    <s v="21/12/2025"/>
    <x v="0"/>
    <x v="1"/>
    <x v="1"/>
    <x v="3"/>
    <x v="3"/>
    <x v="0"/>
    <n v="33012"/>
    <n v="7"/>
    <n v="4.4000000000000004"/>
    <n v="2"/>
    <x v="8"/>
  </r>
  <r>
    <x v="448"/>
    <s v="21/08/2025"/>
    <x v="9"/>
    <x v="3"/>
    <x v="3"/>
    <x v="3"/>
    <x v="3"/>
    <x v="2"/>
    <n v="29872"/>
    <n v="8"/>
    <n v="4"/>
    <n v="1"/>
    <x v="3"/>
  </r>
  <r>
    <x v="449"/>
    <s v="19/05/2025"/>
    <x v="2"/>
    <x v="12"/>
    <x v="2"/>
    <x v="0"/>
    <x v="1"/>
    <x v="1"/>
    <n v="335296"/>
    <n v="4"/>
    <n v="4.0999999999999996"/>
    <n v="6"/>
    <x v="0"/>
  </r>
  <r>
    <x v="450"/>
    <s v="07/07/2025"/>
    <x v="10"/>
    <x v="3"/>
    <x v="3"/>
    <x v="0"/>
    <x v="1"/>
    <x v="0"/>
    <n v="14262"/>
    <n v="6"/>
    <n v="5"/>
    <n v="4"/>
    <x v="4"/>
  </r>
  <r>
    <x v="451"/>
    <s v="30/06/2025"/>
    <x v="14"/>
    <x v="13"/>
    <x v="4"/>
    <x v="5"/>
    <x v="2"/>
    <x v="3"/>
    <n v="9910"/>
    <n v="5"/>
    <n v="3.9"/>
    <n v="8"/>
    <x v="9"/>
  </r>
  <r>
    <x v="452"/>
    <s v="20/08/2025"/>
    <x v="3"/>
    <x v="6"/>
    <x v="1"/>
    <x v="0"/>
    <x v="2"/>
    <x v="0"/>
    <n v="13380"/>
    <n v="6"/>
    <n v="3.3"/>
    <n v="3"/>
    <x v="3"/>
  </r>
  <r>
    <x v="453"/>
    <s v="23/12/2025"/>
    <x v="10"/>
    <x v="14"/>
    <x v="2"/>
    <x v="4"/>
    <x v="1"/>
    <x v="1"/>
    <n v="87816"/>
    <n v="3"/>
    <n v="3.2"/>
    <n v="7"/>
    <x v="8"/>
  </r>
  <r>
    <x v="454"/>
    <s v="27/11/2025"/>
    <x v="16"/>
    <x v="11"/>
    <x v="3"/>
    <x v="5"/>
    <x v="3"/>
    <x v="1"/>
    <n v="880"/>
    <n v="1"/>
    <n v="4.7"/>
    <n v="6"/>
    <x v="11"/>
  </r>
  <r>
    <x v="455"/>
    <s v="23/08/2025"/>
    <x v="3"/>
    <x v="11"/>
    <x v="3"/>
    <x v="0"/>
    <x v="0"/>
    <x v="1"/>
    <n v="10530"/>
    <n v="5"/>
    <n v="3.6"/>
    <n v="6"/>
    <x v="3"/>
  </r>
  <r>
    <x v="456"/>
    <s v="27/03/2025"/>
    <x v="1"/>
    <x v="12"/>
    <x v="2"/>
    <x v="4"/>
    <x v="2"/>
    <x v="2"/>
    <n v="119661"/>
    <n v="3"/>
    <n v="4.7"/>
    <n v="3"/>
    <x v="6"/>
  </r>
  <r>
    <x v="457"/>
    <s v="06/03/2025"/>
    <x v="15"/>
    <x v="19"/>
    <x v="2"/>
    <x v="4"/>
    <x v="3"/>
    <x v="3"/>
    <n v="213456"/>
    <n v="8"/>
    <n v="4.5"/>
    <n v="6"/>
    <x v="6"/>
  </r>
  <r>
    <x v="458"/>
    <s v="01/10/2025"/>
    <x v="8"/>
    <x v="9"/>
    <x v="1"/>
    <x v="0"/>
    <x v="3"/>
    <x v="1"/>
    <n v="15905"/>
    <n v="5"/>
    <n v="4.9000000000000004"/>
    <n v="6"/>
    <x v="1"/>
  </r>
  <r>
    <x v="459"/>
    <s v="21/10/2025"/>
    <x v="10"/>
    <x v="4"/>
    <x v="3"/>
    <x v="0"/>
    <x v="3"/>
    <x v="2"/>
    <n v="4860"/>
    <n v="3"/>
    <n v="4.8"/>
    <n v="3"/>
    <x v="1"/>
  </r>
  <r>
    <x v="460"/>
    <s v="17/08/2025"/>
    <x v="11"/>
    <x v="18"/>
    <x v="3"/>
    <x v="4"/>
    <x v="2"/>
    <x v="2"/>
    <n v="34086"/>
    <n v="6"/>
    <n v="3.6"/>
    <n v="4"/>
    <x v="3"/>
  </r>
  <r>
    <x v="461"/>
    <s v="13/12/2025"/>
    <x v="15"/>
    <x v="8"/>
    <x v="1"/>
    <x v="3"/>
    <x v="0"/>
    <x v="3"/>
    <n v="12012"/>
    <n v="2"/>
    <n v="4.3"/>
    <n v="1"/>
    <x v="8"/>
  </r>
  <r>
    <x v="462"/>
    <s v="10/07/2025"/>
    <x v="19"/>
    <x v="12"/>
    <x v="2"/>
    <x v="1"/>
    <x v="1"/>
    <x v="3"/>
    <n v="48552"/>
    <n v="1"/>
    <n v="4.8"/>
    <n v="2"/>
    <x v="4"/>
  </r>
  <r>
    <x v="463"/>
    <s v="25/03/2025"/>
    <x v="3"/>
    <x v="4"/>
    <x v="3"/>
    <x v="3"/>
    <x v="3"/>
    <x v="2"/>
    <n v="38570"/>
    <n v="7"/>
    <n v="3.4"/>
    <n v="4"/>
    <x v="6"/>
  </r>
  <r>
    <x v="464"/>
    <s v="15/02/2025"/>
    <x v="19"/>
    <x v="8"/>
    <x v="1"/>
    <x v="4"/>
    <x v="1"/>
    <x v="1"/>
    <n v="9906"/>
    <n v="1"/>
    <n v="4"/>
    <n v="3"/>
    <x v="7"/>
  </r>
  <r>
    <x v="465"/>
    <s v="22/01/2025"/>
    <x v="8"/>
    <x v="8"/>
    <x v="1"/>
    <x v="2"/>
    <x v="3"/>
    <x v="3"/>
    <n v="41965"/>
    <n v="5"/>
    <n v="3.6"/>
    <n v="1"/>
    <x v="10"/>
  </r>
  <r>
    <x v="466"/>
    <s v="02/08/2025"/>
    <x v="4"/>
    <x v="20"/>
    <x v="0"/>
    <x v="1"/>
    <x v="3"/>
    <x v="3"/>
    <n v="3921"/>
    <n v="3"/>
    <n v="4.0999999999999996"/>
    <n v="2"/>
    <x v="3"/>
  </r>
  <r>
    <x v="467"/>
    <s v="13/05/2025"/>
    <x v="1"/>
    <x v="8"/>
    <x v="1"/>
    <x v="5"/>
    <x v="2"/>
    <x v="0"/>
    <n v="81800"/>
    <n v="8"/>
    <n v="3.2"/>
    <n v="5"/>
    <x v="0"/>
  </r>
  <r>
    <x v="468"/>
    <s v="21/12/2025"/>
    <x v="2"/>
    <x v="12"/>
    <x v="2"/>
    <x v="2"/>
    <x v="3"/>
    <x v="2"/>
    <n v="28296"/>
    <n v="3"/>
    <n v="4"/>
    <n v="6"/>
    <x v="8"/>
  </r>
  <r>
    <x v="469"/>
    <s v="18/11/2025"/>
    <x v="11"/>
    <x v="9"/>
    <x v="1"/>
    <x v="1"/>
    <x v="3"/>
    <x v="2"/>
    <n v="17940"/>
    <n v="3"/>
    <n v="4.7"/>
    <n v="5"/>
    <x v="11"/>
  </r>
  <r>
    <x v="470"/>
    <s v="15/03/2025"/>
    <x v="7"/>
    <x v="6"/>
    <x v="1"/>
    <x v="4"/>
    <x v="0"/>
    <x v="0"/>
    <n v="8744"/>
    <n v="1"/>
    <n v="3.9"/>
    <n v="3"/>
    <x v="6"/>
  </r>
  <r>
    <x v="471"/>
    <s v="02/08/2025"/>
    <x v="8"/>
    <x v="17"/>
    <x v="4"/>
    <x v="3"/>
    <x v="3"/>
    <x v="0"/>
    <n v="5816"/>
    <n v="8"/>
    <n v="3.8"/>
    <n v="6"/>
    <x v="3"/>
  </r>
  <r>
    <x v="472"/>
    <s v="02/03/2025"/>
    <x v="16"/>
    <x v="14"/>
    <x v="2"/>
    <x v="1"/>
    <x v="2"/>
    <x v="2"/>
    <n v="128788"/>
    <n v="4"/>
    <n v="3.6"/>
    <n v="2"/>
    <x v="6"/>
  </r>
  <r>
    <x v="473"/>
    <s v="09/08/2025"/>
    <x v="11"/>
    <x v="15"/>
    <x v="0"/>
    <x v="0"/>
    <x v="2"/>
    <x v="1"/>
    <n v="702"/>
    <n v="1"/>
    <n v="3.3"/>
    <n v="2"/>
    <x v="3"/>
  </r>
  <r>
    <x v="474"/>
    <s v="05/03/2025"/>
    <x v="6"/>
    <x v="0"/>
    <x v="0"/>
    <x v="2"/>
    <x v="3"/>
    <x v="0"/>
    <n v="6012"/>
    <n v="4"/>
    <n v="3.4"/>
    <n v="5"/>
    <x v="6"/>
  </r>
  <r>
    <x v="475"/>
    <s v="16/09/2025"/>
    <x v="10"/>
    <x v="9"/>
    <x v="1"/>
    <x v="0"/>
    <x v="2"/>
    <x v="0"/>
    <n v="7876"/>
    <n v="2"/>
    <n v="4.9000000000000004"/>
    <n v="3"/>
    <x v="5"/>
  </r>
  <r>
    <x v="476"/>
    <s v="07/07/2025"/>
    <x v="16"/>
    <x v="8"/>
    <x v="1"/>
    <x v="0"/>
    <x v="3"/>
    <x v="2"/>
    <n v="21057"/>
    <n v="3"/>
    <n v="4"/>
    <n v="4"/>
    <x v="4"/>
  </r>
  <r>
    <x v="477"/>
    <s v="24/09/2025"/>
    <x v="7"/>
    <x v="3"/>
    <x v="3"/>
    <x v="3"/>
    <x v="3"/>
    <x v="3"/>
    <n v="15792"/>
    <n v="3"/>
    <n v="3.3"/>
    <n v="8"/>
    <x v="5"/>
  </r>
  <r>
    <x v="478"/>
    <s v="18/12/2025"/>
    <x v="15"/>
    <x v="6"/>
    <x v="1"/>
    <x v="4"/>
    <x v="2"/>
    <x v="3"/>
    <n v="31144"/>
    <n v="8"/>
    <n v="4.7"/>
    <n v="8"/>
    <x v="8"/>
  </r>
  <r>
    <x v="479"/>
    <s v="13/08/2025"/>
    <x v="9"/>
    <x v="15"/>
    <x v="0"/>
    <x v="2"/>
    <x v="0"/>
    <x v="1"/>
    <n v="1088"/>
    <n v="2"/>
    <n v="5"/>
    <n v="3"/>
    <x v="3"/>
  </r>
  <r>
    <x v="480"/>
    <s v="04/03/2025"/>
    <x v="15"/>
    <x v="5"/>
    <x v="4"/>
    <x v="3"/>
    <x v="1"/>
    <x v="3"/>
    <n v="9176"/>
    <n v="4"/>
    <n v="3.7"/>
    <n v="7"/>
    <x v="6"/>
  </r>
  <r>
    <x v="481"/>
    <s v="17/03/2025"/>
    <x v="0"/>
    <x v="6"/>
    <x v="1"/>
    <x v="0"/>
    <x v="2"/>
    <x v="2"/>
    <n v="71576"/>
    <n v="8"/>
    <n v="3.6"/>
    <n v="3"/>
    <x v="6"/>
  </r>
  <r>
    <x v="482"/>
    <s v="02/04/2025"/>
    <x v="12"/>
    <x v="3"/>
    <x v="3"/>
    <x v="3"/>
    <x v="1"/>
    <x v="0"/>
    <n v="22260"/>
    <n v="7"/>
    <n v="4.3"/>
    <n v="2"/>
    <x v="2"/>
  </r>
  <r>
    <x v="483"/>
    <s v="09/09/2025"/>
    <x v="16"/>
    <x v="12"/>
    <x v="2"/>
    <x v="0"/>
    <x v="1"/>
    <x v="3"/>
    <n v="366740"/>
    <n v="5"/>
    <n v="4.9000000000000004"/>
    <n v="1"/>
    <x v="5"/>
  </r>
  <r>
    <x v="484"/>
    <s v="15/08/2025"/>
    <x v="1"/>
    <x v="12"/>
    <x v="2"/>
    <x v="3"/>
    <x v="1"/>
    <x v="0"/>
    <n v="205456"/>
    <n v="8"/>
    <n v="4.7"/>
    <n v="5"/>
    <x v="3"/>
  </r>
  <r>
    <x v="485"/>
    <s v="07/09/2025"/>
    <x v="12"/>
    <x v="12"/>
    <x v="2"/>
    <x v="0"/>
    <x v="1"/>
    <x v="1"/>
    <n v="150170"/>
    <n v="2"/>
    <n v="4"/>
    <n v="3"/>
    <x v="5"/>
  </r>
  <r>
    <x v="486"/>
    <s v="12/11/2025"/>
    <x v="15"/>
    <x v="11"/>
    <x v="3"/>
    <x v="1"/>
    <x v="2"/>
    <x v="1"/>
    <n v="5580"/>
    <n v="6"/>
    <n v="3.3"/>
    <n v="6"/>
    <x v="11"/>
  </r>
  <r>
    <x v="487"/>
    <s v="08/08/2025"/>
    <x v="3"/>
    <x v="3"/>
    <x v="3"/>
    <x v="5"/>
    <x v="2"/>
    <x v="2"/>
    <n v="6972"/>
    <n v="6"/>
    <n v="3.6"/>
    <n v="4"/>
    <x v="3"/>
  </r>
  <r>
    <x v="488"/>
    <s v="22/06/2025"/>
    <x v="6"/>
    <x v="14"/>
    <x v="2"/>
    <x v="5"/>
    <x v="1"/>
    <x v="1"/>
    <n v="135732"/>
    <n v="3"/>
    <n v="4.4000000000000004"/>
    <n v="7"/>
    <x v="9"/>
  </r>
  <r>
    <x v="489"/>
    <s v="29/10/2025"/>
    <x v="7"/>
    <x v="15"/>
    <x v="0"/>
    <x v="1"/>
    <x v="0"/>
    <x v="1"/>
    <n v="948"/>
    <n v="1"/>
    <n v="4.2"/>
    <n v="8"/>
    <x v="1"/>
  </r>
  <r>
    <x v="490"/>
    <s v="27/03/2025"/>
    <x v="10"/>
    <x v="4"/>
    <x v="3"/>
    <x v="4"/>
    <x v="3"/>
    <x v="1"/>
    <n v="23855"/>
    <n v="5"/>
    <n v="4.7"/>
    <n v="2"/>
    <x v="6"/>
  </r>
  <r>
    <x v="491"/>
    <s v="21/10/2025"/>
    <x v="6"/>
    <x v="20"/>
    <x v="0"/>
    <x v="5"/>
    <x v="1"/>
    <x v="3"/>
    <n v="5334"/>
    <n v="7"/>
    <n v="3.8"/>
    <n v="2"/>
    <x v="1"/>
  </r>
  <r>
    <x v="492"/>
    <s v="09/02/2025"/>
    <x v="11"/>
    <x v="13"/>
    <x v="4"/>
    <x v="5"/>
    <x v="1"/>
    <x v="0"/>
    <n v="7390"/>
    <n v="5"/>
    <n v="3.6"/>
    <n v="7"/>
    <x v="7"/>
  </r>
  <r>
    <x v="493"/>
    <s v="23/10/2025"/>
    <x v="6"/>
    <x v="10"/>
    <x v="0"/>
    <x v="1"/>
    <x v="2"/>
    <x v="0"/>
    <n v="5888"/>
    <n v="8"/>
    <n v="4.7"/>
    <n v="7"/>
    <x v="1"/>
  </r>
  <r>
    <x v="494"/>
    <s v="17/03/2025"/>
    <x v="19"/>
    <x v="12"/>
    <x v="2"/>
    <x v="3"/>
    <x v="3"/>
    <x v="1"/>
    <n v="238268"/>
    <n v="4"/>
    <n v="4.7"/>
    <n v="2"/>
    <x v="6"/>
  </r>
  <r>
    <x v="495"/>
    <s v="18/12/2025"/>
    <x v="17"/>
    <x v="13"/>
    <x v="4"/>
    <x v="3"/>
    <x v="1"/>
    <x v="3"/>
    <n v="4904"/>
    <n v="4"/>
    <n v="3.2"/>
    <n v="5"/>
    <x v="8"/>
  </r>
  <r>
    <x v="496"/>
    <s v="23/03/2025"/>
    <x v="14"/>
    <x v="10"/>
    <x v="0"/>
    <x v="0"/>
    <x v="2"/>
    <x v="2"/>
    <n v="2895"/>
    <n v="5"/>
    <n v="4.2"/>
    <n v="1"/>
    <x v="6"/>
  </r>
  <r>
    <x v="497"/>
    <s v="02/06/2025"/>
    <x v="12"/>
    <x v="19"/>
    <x v="2"/>
    <x v="1"/>
    <x v="3"/>
    <x v="3"/>
    <n v="28672"/>
    <n v="2"/>
    <n v="3.6"/>
    <n v="2"/>
    <x v="9"/>
  </r>
  <r>
    <x v="498"/>
    <s v="04/11/2025"/>
    <x v="8"/>
    <x v="10"/>
    <x v="0"/>
    <x v="0"/>
    <x v="0"/>
    <x v="0"/>
    <n v="1882"/>
    <n v="2"/>
    <n v="4.9000000000000004"/>
    <n v="4"/>
    <x v="11"/>
  </r>
  <r>
    <x v="499"/>
    <s v="29/07/2025"/>
    <x v="18"/>
    <x v="12"/>
    <x v="2"/>
    <x v="5"/>
    <x v="1"/>
    <x v="3"/>
    <n v="333860"/>
    <n v="5"/>
    <n v="4.5"/>
    <n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B0A81F-F7BC-4A34-BC40-9E9BF12CED6E}" name="PivotTable7"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Z14:AA20" firstHeaderRow="1" firstDataRow="1" firstDataCol="1"/>
  <pivotFields count="13">
    <pivotField showAll="0"/>
    <pivotField showAll="0"/>
    <pivotField showAll="0"/>
    <pivotField showAll="0" measureFilter="1">
      <items count="22">
        <item x="12"/>
        <item x="6"/>
        <item x="5"/>
        <item x="1"/>
        <item x="13"/>
        <item x="20"/>
        <item x="2"/>
        <item x="4"/>
        <item x="8"/>
        <item x="14"/>
        <item x="15"/>
        <item x="16"/>
        <item x="9"/>
        <item x="17"/>
        <item x="10"/>
        <item x="7"/>
        <item x="0"/>
        <item x="3"/>
        <item x="19"/>
        <item x="18"/>
        <item x="11"/>
        <item t="default"/>
      </items>
    </pivotField>
    <pivotField showAll="0">
      <items count="6">
        <item x="0"/>
        <item x="4"/>
        <item x="2"/>
        <item x="3"/>
        <item x="1"/>
        <item t="default"/>
      </items>
    </pivotField>
    <pivotField axis="axisRow" showAll="0">
      <items count="7">
        <item x="4"/>
        <item x="1"/>
        <item x="0"/>
        <item x="3"/>
        <item x="5"/>
        <item x="2"/>
        <item t="default"/>
      </items>
    </pivotField>
    <pivotField showAll="0">
      <items count="5">
        <item x="2"/>
        <item h="1" x="0"/>
        <item h="1" x="3"/>
        <item h="1" x="1"/>
        <item t="default"/>
      </items>
    </pivotField>
    <pivotField showAll="0">
      <items count="5">
        <item x="2"/>
        <item x="0"/>
        <item x="1"/>
        <item x="3"/>
        <item t="default"/>
      </items>
    </pivotField>
    <pivotField dataField="1" showAll="0"/>
    <pivotField showAll="0"/>
    <pivotField showAll="0"/>
    <pivotField showAll="0"/>
    <pivotField showAll="0">
      <items count="13">
        <item h="1" x="10"/>
        <item h="1" x="7"/>
        <item h="1" x="6"/>
        <item h="1" x="2"/>
        <item h="1" x="0"/>
        <item h="1" x="9"/>
        <item h="1" x="4"/>
        <item x="3"/>
        <item h="1" x="5"/>
        <item h="1" x="1"/>
        <item h="1" x="11"/>
        <item h="1" x="8"/>
        <item t="default"/>
      </items>
    </pivotField>
  </pivotFields>
  <rowFields count="1">
    <field x="5"/>
  </rowFields>
  <rowItems count="6">
    <i>
      <x/>
    </i>
    <i>
      <x v="2"/>
    </i>
    <i>
      <x v="3"/>
    </i>
    <i>
      <x v="4"/>
    </i>
    <i>
      <x v="5"/>
    </i>
    <i t="grand">
      <x/>
    </i>
  </rowItems>
  <colItems count="1">
    <i/>
  </colItems>
  <dataFields count="1">
    <dataField name="Total of Sales" fld="8" baseField="0" baseItem="0"/>
  </dataFields>
  <formats count="1">
    <format dxfId="253">
      <pivotArea collapsedLevelsAreSubtotals="1" fieldPosition="0">
        <references count="1">
          <reference field="4294967294" count="1">
            <x v="0"/>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693BD4-32C5-447A-9702-83C0E08174D4}" name="PivotTable5"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H12:I18" firstHeaderRow="1" firstDataRow="1" firstDataCol="1"/>
  <pivotFields count="13">
    <pivotField showAll="0"/>
    <pivotField showAll="0"/>
    <pivotField showAll="0"/>
    <pivotField axis="axisRow" showAll="0" measureFilter="1">
      <items count="22">
        <item x="12"/>
        <item x="6"/>
        <item x="5"/>
        <item x="1"/>
        <item x="13"/>
        <item x="20"/>
        <item x="2"/>
        <item x="4"/>
        <item x="8"/>
        <item x="14"/>
        <item x="15"/>
        <item x="16"/>
        <item x="9"/>
        <item x="17"/>
        <item x="10"/>
        <item x="7"/>
        <item x="0"/>
        <item x="3"/>
        <item x="19"/>
        <item x="18"/>
        <item x="11"/>
        <item t="default"/>
      </items>
    </pivotField>
    <pivotField showAll="0">
      <items count="6">
        <item x="0"/>
        <item x="4"/>
        <item x="2"/>
        <item x="3"/>
        <item x="1"/>
        <item t="default"/>
      </items>
    </pivotField>
    <pivotField showAll="0"/>
    <pivotField showAll="0">
      <items count="5">
        <item x="2"/>
        <item h="1" x="0"/>
        <item h="1" x="3"/>
        <item h="1" x="1"/>
        <item t="default"/>
      </items>
    </pivotField>
    <pivotField showAll="0">
      <items count="5">
        <item x="2"/>
        <item x="0"/>
        <item x="1"/>
        <item x="3"/>
        <item t="default"/>
      </items>
    </pivotField>
    <pivotField dataField="1" showAll="0"/>
    <pivotField showAll="0"/>
    <pivotField showAll="0"/>
    <pivotField showAll="0"/>
    <pivotField showAll="0">
      <items count="13">
        <item h="1" x="10"/>
        <item h="1" x="7"/>
        <item h="1" x="6"/>
        <item h="1" x="2"/>
        <item h="1" x="0"/>
        <item h="1" x="9"/>
        <item h="1" x="4"/>
        <item x="3"/>
        <item h="1" x="5"/>
        <item h="1" x="1"/>
        <item h="1" x="11"/>
        <item h="1" x="8"/>
        <item t="default"/>
      </items>
    </pivotField>
  </pivotFields>
  <rowFields count="1">
    <field x="3"/>
  </rowFields>
  <rowItems count="6">
    <i>
      <x v="1"/>
    </i>
    <i>
      <x v="5"/>
    </i>
    <i>
      <x v="10"/>
    </i>
    <i>
      <x v="11"/>
    </i>
    <i>
      <x v="19"/>
    </i>
    <i t="grand">
      <x/>
    </i>
  </rowItems>
  <colItems count="1">
    <i/>
  </colItems>
  <dataFields count="1">
    <dataField name="Total of Sales" fld="8" baseField="0" baseItem="0"/>
  </dataFields>
  <formats count="1">
    <format dxfId="254">
      <pivotArea collapsedLevelsAreSubtotals="1" fieldPosition="0">
        <references count="1">
          <reference field="4294967294" count="1">
            <x v="0"/>
          </reference>
        </references>
      </pivotArea>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11"/>
          </reference>
        </references>
      </pivotArea>
    </chartFormat>
    <chartFormat chart="2" format="4">
      <pivotArea type="data" outline="0" fieldPosition="0">
        <references count="2">
          <reference field="4294967294" count="1" selected="0">
            <x v="0"/>
          </reference>
          <reference field="3" count="1" selected="0">
            <x v="18"/>
          </reference>
        </references>
      </pivotArea>
    </chartFormat>
    <chartFormat chart="2" format="5">
      <pivotArea type="data" outline="0" fieldPosition="0">
        <references count="2">
          <reference field="4294967294" count="1" selected="0">
            <x v="0"/>
          </reference>
          <reference field="3" count="1" selected="0">
            <x v="9"/>
          </reference>
        </references>
      </pivotArea>
    </chartFormat>
    <chartFormat chart="2" format="6">
      <pivotArea type="data" outline="0" fieldPosition="0">
        <references count="2">
          <reference field="4294967294" count="1" selected="0">
            <x v="0"/>
          </reference>
          <reference field="3" count="1" selected="0">
            <x v="6"/>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4C4B21-2C2F-4D47-8681-BC79606CF57B}" name="PivotTable3"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H3:I8" firstHeaderRow="1" firstDataRow="1" firstDataCol="1"/>
  <pivotFields count="13">
    <pivotField showAll="0"/>
    <pivotField showAll="0"/>
    <pivotField showAll="0"/>
    <pivotField showAll="0"/>
    <pivotField axis="axisRow" showAll="0" sortType="a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pivotField showAll="0">
      <items count="5">
        <item x="2"/>
        <item h="1" x="0"/>
        <item h="1" x="3"/>
        <item h="1" x="1"/>
        <item t="default"/>
      </items>
    </pivotField>
    <pivotField showAll="0">
      <items count="5">
        <item x="2"/>
        <item x="0"/>
        <item x="1"/>
        <item x="3"/>
        <item t="default"/>
      </items>
    </pivotField>
    <pivotField dataField="1" showAll="0"/>
    <pivotField showAll="0"/>
    <pivotField showAll="0"/>
    <pivotField showAll="0"/>
    <pivotField showAll="0">
      <items count="13">
        <item h="1" x="10"/>
        <item h="1" x="7"/>
        <item h="1" x="6"/>
        <item h="1" x="2"/>
        <item h="1" x="0"/>
        <item h="1" x="9"/>
        <item h="1" x="4"/>
        <item x="3"/>
        <item h="1" x="5"/>
        <item h="1" x="1"/>
        <item h="1" x="11"/>
        <item h="1" x="8"/>
        <item t="default"/>
      </items>
    </pivotField>
  </pivotFields>
  <rowFields count="1">
    <field x="4"/>
  </rowFields>
  <rowItems count="5">
    <i>
      <x/>
    </i>
    <i>
      <x v="4"/>
    </i>
    <i>
      <x v="3"/>
    </i>
    <i>
      <x v="2"/>
    </i>
    <i t="grand">
      <x/>
    </i>
  </rowItems>
  <colItems count="1">
    <i/>
  </colItems>
  <dataFields count="1">
    <dataField name="Total of Sales" fld="8" baseField="0" baseItem="0"/>
  </dataFields>
  <formats count="1">
    <format dxfId="255">
      <pivotArea collapsedLevelsAreSubtotals="1" fieldPosition="0">
        <references count="1">
          <reference field="4294967294" count="1">
            <x v="0"/>
          </reference>
        </references>
      </pivotArea>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 chart="4"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7C239B-AAFF-41CF-9883-032D907D2550}" name="PivotTable4"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K3:L8" firstHeaderRow="1" firstDataRow="1" firstDataCol="1"/>
  <pivotFields count="13">
    <pivotField showAll="0"/>
    <pivotField showAll="0"/>
    <pivotField showAll="0"/>
    <pivotField showAll="0"/>
    <pivotField showAll="0">
      <items count="6">
        <item x="0"/>
        <item x="4"/>
        <item x="2"/>
        <item x="3"/>
        <item x="1"/>
        <item t="default"/>
      </items>
    </pivotField>
    <pivotField showAll="0"/>
    <pivotField showAll="0">
      <items count="5">
        <item x="2"/>
        <item h="1" x="0"/>
        <item h="1" x="3"/>
        <item h="1" x="1"/>
        <item t="default"/>
      </items>
    </pivotField>
    <pivotField axis="axisRow" showAll="0">
      <items count="5">
        <item x="2"/>
        <item x="0"/>
        <item x="1"/>
        <item x="3"/>
        <item t="default"/>
      </items>
    </pivotField>
    <pivotField dataField="1" showAll="0"/>
    <pivotField showAll="0"/>
    <pivotField showAll="0"/>
    <pivotField showAll="0"/>
    <pivotField showAll="0">
      <items count="13">
        <item h="1" x="10"/>
        <item h="1" x="7"/>
        <item h="1" x="6"/>
        <item h="1" x="2"/>
        <item h="1" x="0"/>
        <item h="1" x="9"/>
        <item h="1" x="4"/>
        <item x="3"/>
        <item h="1" x="5"/>
        <item h="1" x="1"/>
        <item h="1" x="11"/>
        <item h="1" x="8"/>
        <item t="default"/>
      </items>
    </pivotField>
  </pivotFields>
  <rowFields count="1">
    <field x="7"/>
  </rowFields>
  <rowItems count="5">
    <i>
      <x/>
    </i>
    <i>
      <x v="1"/>
    </i>
    <i>
      <x v="2"/>
    </i>
    <i>
      <x v="3"/>
    </i>
    <i t="grand">
      <x/>
    </i>
  </rowItems>
  <colItems count="1">
    <i/>
  </colItems>
  <dataFields count="1">
    <dataField name="Total of Sales" fld="8" baseField="0" baseItem="0"/>
  </dataFields>
  <formats count="1">
    <format dxfId="256">
      <pivotArea collapsedLevelsAreSubtotals="1" fieldPosition="0">
        <references count="1">
          <reference field="4294967294" count="1">
            <x v="0"/>
          </reference>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2" format="9">
      <pivotArea type="data" outline="0" fieldPosition="0">
        <references count="2">
          <reference field="4294967294" count="1" selected="0">
            <x v="0"/>
          </reference>
          <reference field="7" count="1" selected="0">
            <x v="2"/>
          </reference>
        </references>
      </pivotArea>
    </chartFormat>
    <chartFormat chart="2"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3FA9D0-F3B1-4DF4-8203-A4EE10184329}" name="PivotTable6" cacheId="0" dataOnRows="1"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location ref="L12:P26" firstHeaderRow="2" firstDataRow="2" firstDataCol="4"/>
  <pivotFields count="13">
    <pivotField axis="axisRow" compact="0" outline="0" showAll="0" defaultSubtota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s>
    </pivotField>
    <pivotField compact="0" outline="0" showAll="0" defaultSubtotal="0"/>
    <pivotField axis="axisRow" compact="0" outline="0" showAll="0" defaultSubtotal="0">
      <items count="20">
        <item x="4"/>
        <item x="8"/>
        <item x="13"/>
        <item x="5"/>
        <item x="7"/>
        <item x="6"/>
        <item x="1"/>
        <item x="15"/>
        <item x="17"/>
        <item x="10"/>
        <item x="2"/>
        <item x="12"/>
        <item x="11"/>
        <item x="3"/>
        <item x="19"/>
        <item x="0"/>
        <item x="14"/>
        <item x="18"/>
        <item x="16"/>
        <item x="9"/>
      </items>
    </pivotField>
    <pivotField axis="axisRow" compact="0" outline="0" showAll="0" defaultSubtotal="0">
      <items count="21">
        <item x="12"/>
        <item x="6"/>
        <item x="5"/>
        <item x="1"/>
        <item x="13"/>
        <item x="20"/>
        <item x="2"/>
        <item x="4"/>
        <item x="8"/>
        <item x="14"/>
        <item x="15"/>
        <item x="16"/>
        <item x="9"/>
        <item x="17"/>
        <item x="10"/>
        <item x="7"/>
        <item x="0"/>
        <item x="3"/>
        <item x="19"/>
        <item x="18"/>
        <item x="11"/>
      </items>
    </pivotField>
    <pivotField axis="axisRow" compact="0" outline="0" showAll="0" defaultSubtotal="0">
      <items count="5">
        <item x="0"/>
        <item x="4"/>
        <item x="2"/>
        <item x="3"/>
        <item x="1"/>
      </items>
    </pivotField>
    <pivotField compact="0" outline="0" showAll="0" defaultSubtotal="0"/>
    <pivotField compact="0" outline="0" showAll="0" defaultSubtotal="0">
      <items count="4">
        <item x="2"/>
        <item h="1" x="0"/>
        <item h="1" x="3"/>
        <item h="1" x="1"/>
      </items>
    </pivotField>
    <pivotField compact="0" outline="0" showAll="0" defaultSubtotal="0">
      <items count="4">
        <item x="2"/>
        <item x="0"/>
        <item x="1"/>
        <item x="3"/>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12">
        <item h="1" x="10"/>
        <item h="1" x="7"/>
        <item h="1" x="6"/>
        <item h="1" x="2"/>
        <item h="1" x="0"/>
        <item h="1" x="9"/>
        <item h="1" x="4"/>
        <item x="3"/>
        <item h="1" x="5"/>
        <item h="1" x="1"/>
        <item h="1" x="11"/>
        <item h="1" x="8"/>
      </items>
    </pivotField>
  </pivotFields>
  <rowFields count="4">
    <field x="0"/>
    <field x="2"/>
    <field x="3"/>
    <field x="4"/>
  </rowFields>
  <rowItems count="13">
    <i>
      <x v="12"/>
      <x v="5"/>
      <x v="7"/>
      <x v="3"/>
    </i>
    <i>
      <x v="108"/>
      <x v="2"/>
      <x v="19"/>
      <x v="3"/>
    </i>
    <i>
      <x v="164"/>
      <x v="11"/>
      <x v="20"/>
      <x v="3"/>
    </i>
    <i>
      <x v="169"/>
      <x v="12"/>
      <x v="10"/>
      <x/>
    </i>
    <i>
      <x v="363"/>
      <x v="16"/>
      <x v="10"/>
      <x/>
    </i>
    <i>
      <x v="365"/>
      <x v="17"/>
      <x v="5"/>
      <x/>
    </i>
    <i>
      <x v="380"/>
      <x v="8"/>
      <x v="11"/>
      <x v="2"/>
    </i>
    <i>
      <x v="408"/>
      <x v="10"/>
      <x v="1"/>
      <x v="4"/>
    </i>
    <i>
      <x v="452"/>
      <x v="13"/>
      <x v="1"/>
      <x v="4"/>
    </i>
    <i>
      <x v="460"/>
      <x v="12"/>
      <x v="19"/>
      <x v="3"/>
    </i>
    <i>
      <x v="473"/>
      <x v="12"/>
      <x v="10"/>
      <x/>
    </i>
    <i>
      <x v="487"/>
      <x v="13"/>
      <x v="17"/>
      <x v="3"/>
    </i>
    <i t="grand">
      <x/>
    </i>
  </rowItems>
  <colItems count="1">
    <i/>
  </colItems>
  <dataFields count="1">
    <dataField name="Sum of Sales" fld="8" baseField="0" baseItem="0" numFmtId="164"/>
  </dataFields>
  <formats count="2">
    <format dxfId="258">
      <pivotArea outline="0" collapsedLevelsAreSubtotals="1" fieldPosition="0"/>
    </format>
    <format dxfId="257">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1C37F8-19DF-4A53-AB1E-7D2573D87659}" name="PivotTable2"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D3:E5" firstHeaderRow="1" firstDataRow="1" firstDataCol="1"/>
  <pivotFields count="13">
    <pivotField showAll="0"/>
    <pivotField showAll="0"/>
    <pivotField showAll="0"/>
    <pivotField showAll="0"/>
    <pivotField showAll="0"/>
    <pivotField showAll="0"/>
    <pivotField showAll="0">
      <items count="5">
        <item x="2"/>
        <item h="1" x="0"/>
        <item h="1" x="3"/>
        <item h="1" x="1"/>
        <item t="default"/>
      </items>
    </pivotField>
    <pivotField showAll="0">
      <items count="5">
        <item x="2"/>
        <item x="0"/>
        <item x="1"/>
        <item x="3"/>
        <item t="default"/>
      </items>
    </pivotField>
    <pivotField dataField="1" showAll="0"/>
    <pivotField showAll="0"/>
    <pivotField showAll="0"/>
    <pivotField showAll="0"/>
    <pivotField axis="axisRow" showAll="0">
      <items count="13">
        <item h="1" x="10"/>
        <item h="1" x="7"/>
        <item h="1" x="6"/>
        <item h="1" x="2"/>
        <item h="1" x="0"/>
        <item h="1" x="9"/>
        <item h="1" x="4"/>
        <item x="3"/>
        <item h="1" x="5"/>
        <item h="1" x="1"/>
        <item h="1" x="11"/>
        <item h="1" x="8"/>
        <item t="default"/>
      </items>
    </pivotField>
  </pivotFields>
  <rowFields count="1">
    <field x="12"/>
  </rowFields>
  <rowItems count="2">
    <i>
      <x v="7"/>
    </i>
    <i t="grand">
      <x/>
    </i>
  </rowItems>
  <colItems count="1">
    <i/>
  </colItems>
  <dataFields count="1">
    <dataField name="Total of Sales" fld="8" baseField="0" baseItem="0"/>
  </dataFields>
  <formats count="1">
    <format dxfId="259">
      <pivotArea collapsedLevelsAreSubtotals="1" fieldPosition="0">
        <references count="1">
          <reference field="4294967294" count="1">
            <x v="0"/>
          </reference>
        </references>
      </pivotArea>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4E5496-F9A3-4984-9AD0-923F22D3D39D}" name="PivotTable1"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8" firstHeaderRow="1" firstDataRow="1" firstDataCol="1"/>
  <pivotFields count="13">
    <pivotField dataField="1" showAll="0"/>
    <pivotField showAll="0"/>
    <pivotField showAll="0"/>
    <pivotField showAll="0"/>
    <pivotField showAll="0"/>
    <pivotField showAll="0"/>
    <pivotField showAll="0">
      <items count="5">
        <item x="2"/>
        <item h="1" x="0"/>
        <item h="1" x="3"/>
        <item h="1" x="1"/>
        <item t="default"/>
      </items>
    </pivotField>
    <pivotField showAll="0">
      <items count="5">
        <item x="2"/>
        <item x="0"/>
        <item x="1"/>
        <item x="3"/>
        <item t="default"/>
      </items>
    </pivotField>
    <pivotField dataField="1" showAll="0"/>
    <pivotField dataField="1" showAll="0"/>
    <pivotField dataField="1" showAll="0"/>
    <pivotField dataField="1" showAll="0"/>
    <pivotField showAll="0">
      <items count="13">
        <item h="1" x="10"/>
        <item h="1" x="7"/>
        <item h="1" x="6"/>
        <item h="1" x="2"/>
        <item h="1" x="0"/>
        <item h="1" x="9"/>
        <item h="1" x="4"/>
        <item x="3"/>
        <item h="1" x="5"/>
        <item h="1" x="1"/>
        <item h="1" x="11"/>
        <item h="1" x="8"/>
        <item t="default"/>
      </items>
    </pivotField>
  </pivotFields>
  <rowFields count="1">
    <field x="-2"/>
  </rowFields>
  <rowItems count="5">
    <i>
      <x/>
    </i>
    <i i="1">
      <x v="1"/>
    </i>
    <i i="2">
      <x v="2"/>
    </i>
    <i i="3">
      <x v="3"/>
    </i>
    <i i="4">
      <x v="4"/>
    </i>
  </rowItems>
  <colItems count="1">
    <i/>
  </colItems>
  <dataFields count="5">
    <dataField name="Count of Order_ID" fld="0" subtotal="count" baseField="0" baseItem="0"/>
    <dataField name="Total of Sales" fld="8" baseField="0" baseItem="0"/>
    <dataField name="Sum of Quantity" fld="9" baseField="0" baseItem="0"/>
    <dataField name="Average of Rating" fld="10" subtotal="average" baseField="0" baseItem="4"/>
    <dataField name="Average of Delivery" fld="11" subtotal="average" baseField="0" baseItem="4"/>
  </dataFields>
  <formats count="4">
    <format dxfId="263">
      <pivotArea collapsedLevelsAreSubtotals="1" fieldPosition="0">
        <references count="1">
          <reference field="4294967294" count="1">
            <x v="3"/>
          </reference>
        </references>
      </pivotArea>
    </format>
    <format dxfId="262">
      <pivotArea collapsedLevelsAreSubtotals="1" fieldPosition="0">
        <references count="1">
          <reference field="4294967294" count="1">
            <x v="1"/>
          </reference>
        </references>
      </pivotArea>
    </format>
    <format dxfId="261">
      <pivotArea collapsedLevelsAreSubtotals="1" fieldPosition="0">
        <references count="1">
          <reference field="4294967294" count="1">
            <x v="2"/>
          </reference>
        </references>
      </pivotArea>
    </format>
    <format dxfId="260">
      <pivotArea collapsedLevelsAreSubtotals="1"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114D57D7-58C7-4B7E-B111-D0D5BF27B6FD}" sourceName="Seller">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2142580918">
      <items count="4">
        <i x="2" s="1"/>
        <i x="0"/>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5B2ADA0-0598-4813-B5D1-3F02260645EA}" sourceName="Payment_Method">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2142580918">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B58FDFD-D3E8-43D0-8202-74311D286595}" sourceName="Month">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2142580918">
      <items count="12">
        <i x="10"/>
        <i x="7"/>
        <i x="6"/>
        <i x="2"/>
        <i x="0"/>
        <i x="9"/>
        <i x="4"/>
        <i x="3" s="1"/>
        <i x="5"/>
        <i x="1"/>
        <i x="11"/>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xr10:uid="{11832FD4-E475-4BAD-90D5-400CC5D289C8}" cache="Slicer_Seller" caption="Seller" style="SlicerStyleDark4" rowHeight="247650"/>
  <slicer name="Payment_Method" xr10:uid="{4B60BF5F-0829-4239-8E4C-C3D768FBD383}" cache="Slicer_Payment_Method" caption="Payment_Method" startItem="1" style="SlicerStyleDark4" rowHeight="247650"/>
  <slicer name="Month" xr10:uid="{F50DE628-9081-479B-8DD8-8221AD8EA155}" cache="Slicer_Month" caption="Month" startItem="7" style="SlicerStyleLight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80D071-5323-4C66-BA22-00F82BF17697}" name="Table2" displayName="Table2" ref="A1:M501" totalsRowShown="0">
  <autoFilter ref="A1:M501" xr:uid="{2480D071-5323-4C66-BA22-00F82BF17697}"/>
  <tableColumns count="13">
    <tableColumn id="1" xr3:uid="{4619DDE8-E45E-40F5-9CDE-83F49B529241}" name="Order_ID"/>
    <tableColumn id="2" xr3:uid="{135ACC30-3CAE-4A4B-B5CB-59E5AD460DD3}" name="Date"/>
    <tableColumn id="3" xr3:uid="{CAE3042A-9808-464A-BC2A-9A5D7F3F309C}" name="Customer_Name"/>
    <tableColumn id="4" xr3:uid="{FB80DA67-A5C8-4B90-A1EF-46E18B030293}" name="Product"/>
    <tableColumn id="5" xr3:uid="{5E81FBA1-71A1-4F40-BD7A-FBF54904BE1A}" name="Category"/>
    <tableColumn id="6" xr3:uid="{2F226CA1-19E8-4AB1-A5D6-BBE87C5DB869}" name="State"/>
    <tableColumn id="7" xr3:uid="{F8102C39-594C-41AC-9686-541DDD1537E7}" name="Seller"/>
    <tableColumn id="8" xr3:uid="{0A8097C8-83EB-4DE0-A641-267C0F4EFC44}" name="Payment_Method"/>
    <tableColumn id="9" xr3:uid="{081A5C4B-54A1-4BBF-A014-0EBBF3191B2D}" name="Sales"/>
    <tableColumn id="10" xr3:uid="{C9E67D15-90D1-48D9-862A-8498B31085A7}" name="Quantity"/>
    <tableColumn id="11" xr3:uid="{AE998671-AC4D-4B9A-AFF2-4F542F21E837}" name="Rating"/>
    <tableColumn id="12" xr3:uid="{49941C77-18ED-46A5-8B32-A178909E271D}" name="Delivery"/>
    <tableColumn id="13" xr3:uid="{7F51789C-1BBD-40A2-89EF-B0174FE343E5}" name="Month"/>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FC83D-F4DE-46E1-8F10-A51850531366}">
  <dimension ref="A3:AE514"/>
  <sheetViews>
    <sheetView showGridLines="0" workbookViewId="0">
      <selection activeCell="I9" sqref="I9"/>
    </sheetView>
  </sheetViews>
  <sheetFormatPr defaultRowHeight="14.4" x14ac:dyDescent="0.3"/>
  <cols>
    <col min="1" max="1" width="16.109375" bestFit="1" customWidth="1"/>
    <col min="2" max="2" width="9" bestFit="1" customWidth="1"/>
    <col min="3" max="3" width="14.21875" bestFit="1" customWidth="1"/>
    <col min="4" max="4" width="15.109375" bestFit="1" customWidth="1"/>
    <col min="5" max="5" width="16.6640625" bestFit="1" customWidth="1"/>
    <col min="8" max="8" width="12.44140625" bestFit="1" customWidth="1"/>
    <col min="9" max="9" width="11.88671875" bestFit="1" customWidth="1"/>
    <col min="11" max="11" width="12.44140625" bestFit="1" customWidth="1"/>
    <col min="12" max="12" width="18.109375" customWidth="1"/>
    <col min="13" max="13" width="15.109375" customWidth="1"/>
    <col min="15" max="15" width="12.5546875" customWidth="1"/>
    <col min="16" max="16" width="8.88671875" style="4"/>
    <col min="20" max="20" width="9.6640625" bestFit="1" customWidth="1"/>
    <col min="21" max="21" width="7.109375" bestFit="1" customWidth="1"/>
    <col min="22" max="22" width="12.5546875" bestFit="1" customWidth="1"/>
    <col min="24" max="24" width="12.21875" bestFit="1" customWidth="1"/>
    <col min="27" max="27" width="11.88671875" bestFit="1" customWidth="1"/>
    <col min="28" max="28" width="5.5546875" customWidth="1"/>
    <col min="29" max="29" width="10.6640625" customWidth="1"/>
  </cols>
  <sheetData>
    <row r="3" spans="1:31" x14ac:dyDescent="0.3">
      <c r="A3" s="1" t="s">
        <v>865</v>
      </c>
      <c r="D3" s="1" t="s">
        <v>867</v>
      </c>
      <c r="E3" t="s">
        <v>866</v>
      </c>
      <c r="H3" s="1" t="s">
        <v>867</v>
      </c>
      <c r="I3" t="s">
        <v>866</v>
      </c>
      <c r="K3" s="1" t="s">
        <v>867</v>
      </c>
      <c r="L3" t="s">
        <v>866</v>
      </c>
    </row>
    <row r="4" spans="1:31" x14ac:dyDescent="0.3">
      <c r="A4" s="2" t="s">
        <v>860</v>
      </c>
      <c r="B4" s="22">
        <v>12</v>
      </c>
      <c r="D4" s="2" t="s">
        <v>47</v>
      </c>
      <c r="E4" s="4">
        <v>385898</v>
      </c>
      <c r="H4" s="2" t="s">
        <v>17</v>
      </c>
      <c r="I4" s="4">
        <v>21170</v>
      </c>
      <c r="K4" s="2" t="s">
        <v>36</v>
      </c>
      <c r="L4" s="4">
        <v>100920</v>
      </c>
    </row>
    <row r="5" spans="1:31" x14ac:dyDescent="0.3">
      <c r="A5" s="2" t="s">
        <v>866</v>
      </c>
      <c r="B5" s="4">
        <v>385898</v>
      </c>
      <c r="D5" s="2" t="s">
        <v>868</v>
      </c>
      <c r="E5" s="4">
        <v>385898</v>
      </c>
      <c r="H5" s="2" t="s">
        <v>26</v>
      </c>
      <c r="I5" s="4">
        <v>57912</v>
      </c>
      <c r="K5" s="2" t="s">
        <v>20</v>
      </c>
      <c r="L5" s="4">
        <v>261972</v>
      </c>
    </row>
    <row r="6" spans="1:31" x14ac:dyDescent="0.3">
      <c r="A6" s="2" t="s">
        <v>862</v>
      </c>
      <c r="B6" s="5">
        <v>55</v>
      </c>
      <c r="H6" s="2" t="s">
        <v>42</v>
      </c>
      <c r="I6" s="4">
        <v>58224</v>
      </c>
      <c r="K6" s="2" t="s">
        <v>29</v>
      </c>
      <c r="L6" s="4">
        <v>21498</v>
      </c>
    </row>
    <row r="7" spans="1:31" x14ac:dyDescent="0.3">
      <c r="A7" s="2" t="s">
        <v>863</v>
      </c>
      <c r="B7" s="3">
        <v>3.7333333333333329</v>
      </c>
      <c r="H7" s="2" t="s">
        <v>35</v>
      </c>
      <c r="I7" s="4">
        <v>248592</v>
      </c>
      <c r="K7" s="2" t="s">
        <v>64</v>
      </c>
      <c r="L7" s="4">
        <v>1508</v>
      </c>
    </row>
    <row r="8" spans="1:31" x14ac:dyDescent="0.3">
      <c r="A8" s="2" t="s">
        <v>864</v>
      </c>
      <c r="B8" s="3">
        <v>4.25</v>
      </c>
      <c r="H8" s="2" t="s">
        <v>868</v>
      </c>
      <c r="I8" s="4">
        <v>385898</v>
      </c>
      <c r="K8" s="2" t="s">
        <v>868</v>
      </c>
      <c r="L8" s="4">
        <v>385898</v>
      </c>
    </row>
    <row r="12" spans="1:31" x14ac:dyDescent="0.3">
      <c r="H12" s="1" t="s">
        <v>867</v>
      </c>
      <c r="I12" t="s">
        <v>866</v>
      </c>
      <c r="L12" s="1" t="s">
        <v>861</v>
      </c>
    </row>
    <row r="13" spans="1:31" x14ac:dyDescent="0.3">
      <c r="H13" s="2" t="s">
        <v>59</v>
      </c>
      <c r="I13" s="4">
        <v>57912</v>
      </c>
      <c r="L13" s="1" t="s">
        <v>0</v>
      </c>
      <c r="M13" s="1" t="s">
        <v>2</v>
      </c>
      <c r="N13" s="1" t="s">
        <v>3</v>
      </c>
      <c r="O13" s="1" t="s">
        <v>4</v>
      </c>
      <c r="P13" t="s">
        <v>869</v>
      </c>
      <c r="T13" s="7" t="s">
        <v>0</v>
      </c>
      <c r="U13" s="7" t="s">
        <v>870</v>
      </c>
      <c r="V13" s="7" t="s">
        <v>3</v>
      </c>
      <c r="W13" s="7" t="s">
        <v>871</v>
      </c>
      <c r="X13" s="7" t="s">
        <v>872</v>
      </c>
    </row>
    <row r="14" spans="1:31" x14ac:dyDescent="0.3">
      <c r="H14" s="2" t="s">
        <v>218</v>
      </c>
      <c r="I14" s="4">
        <v>10212</v>
      </c>
      <c r="L14" t="s">
        <v>81</v>
      </c>
      <c r="M14" t="s">
        <v>58</v>
      </c>
      <c r="N14" t="s">
        <v>46</v>
      </c>
      <c r="O14" t="s">
        <v>42</v>
      </c>
      <c r="P14" s="4">
        <v>9792</v>
      </c>
      <c r="T14" t="str">
        <f>L14</f>
        <v>ORD10013</v>
      </c>
      <c r="U14" t="str">
        <f t="shared" ref="U14:X21" si="0">M14</f>
        <v>Divya</v>
      </c>
      <c r="V14" t="str">
        <f t="shared" si="0"/>
        <v>Jeans</v>
      </c>
      <c r="W14" t="str">
        <f t="shared" si="0"/>
        <v>Fashion</v>
      </c>
      <c r="X14" s="6">
        <f t="shared" si="0"/>
        <v>9792</v>
      </c>
      <c r="Z14" s="1" t="s">
        <v>867</v>
      </c>
      <c r="AA14" t="s">
        <v>866</v>
      </c>
      <c r="AB14" s="10" t="s">
        <v>875</v>
      </c>
      <c r="AC14" s="11" t="s">
        <v>874</v>
      </c>
      <c r="AD14" s="11" t="s">
        <v>876</v>
      </c>
      <c r="AE14" s="11" t="s">
        <v>877</v>
      </c>
    </row>
    <row r="15" spans="1:31" x14ac:dyDescent="0.3">
      <c r="H15" s="2" t="s">
        <v>116</v>
      </c>
      <c r="I15" s="4">
        <v>10958</v>
      </c>
      <c r="L15" t="s">
        <v>285</v>
      </c>
      <c r="M15" t="s">
        <v>122</v>
      </c>
      <c r="N15" t="s">
        <v>159</v>
      </c>
      <c r="O15" t="s">
        <v>42</v>
      </c>
      <c r="P15" s="4">
        <v>1836</v>
      </c>
      <c r="T15" t="str">
        <f t="shared" ref="T15:T21" si="1">L15</f>
        <v>ORD10109</v>
      </c>
      <c r="U15" t="str">
        <f t="shared" si="0"/>
        <v>Aman</v>
      </c>
      <c r="V15" t="str">
        <f t="shared" si="0"/>
        <v>T-Shirt</v>
      </c>
      <c r="W15" t="str">
        <f t="shared" si="0"/>
        <v>Fashion</v>
      </c>
      <c r="X15" s="6">
        <f t="shared" si="0"/>
        <v>1836</v>
      </c>
      <c r="Z15" s="2" t="s">
        <v>83</v>
      </c>
      <c r="AA15" s="4">
        <v>43878</v>
      </c>
      <c r="AC15" s="12" t="str">
        <f>Z15</f>
        <v>Delhi</v>
      </c>
      <c r="AD15" s="13">
        <f>GETPIVOTDATA("Sales",Z14,"State","Delhi")</f>
        <v>43878</v>
      </c>
      <c r="AE15" s="14" t="e">
        <f>AD15/AD21</f>
        <v>#REF!</v>
      </c>
    </row>
    <row r="16" spans="1:31" x14ac:dyDescent="0.3">
      <c r="H16" s="2" t="s">
        <v>130</v>
      </c>
      <c r="I16" s="4">
        <v>248592</v>
      </c>
      <c r="L16" t="s">
        <v>382</v>
      </c>
      <c r="M16" t="s">
        <v>112</v>
      </c>
      <c r="N16" t="s">
        <v>90</v>
      </c>
      <c r="O16" t="s">
        <v>42</v>
      </c>
      <c r="P16" s="4">
        <v>5538</v>
      </c>
      <c r="T16" t="str">
        <f t="shared" si="1"/>
        <v>ORD10165</v>
      </c>
      <c r="U16" t="str">
        <f t="shared" si="0"/>
        <v>Pooja</v>
      </c>
      <c r="V16" t="str">
        <f t="shared" si="0"/>
        <v>Watch</v>
      </c>
      <c r="W16" t="str">
        <f t="shared" si="0"/>
        <v>Fashion</v>
      </c>
      <c r="X16" s="6">
        <f t="shared" si="0"/>
        <v>5538</v>
      </c>
      <c r="Z16" s="2" t="s">
        <v>18</v>
      </c>
      <c r="AA16" s="4">
        <v>276960</v>
      </c>
      <c r="AC16" s="12" t="str">
        <f t="shared" ref="AC16:AC20" si="2">Z16</f>
        <v>Karnataka</v>
      </c>
      <c r="AD16" s="13" t="e">
        <f>GETPIVOTDATA("Sales",$Z$14,"State","Gujrat")</f>
        <v>#REF!</v>
      </c>
      <c r="AE16" s="14" t="e">
        <f>AD16/AD21</f>
        <v>#REF!</v>
      </c>
    </row>
    <row r="17" spans="8:31" x14ac:dyDescent="0.3">
      <c r="H17" s="2" t="s">
        <v>159</v>
      </c>
      <c r="I17" s="4">
        <v>35922</v>
      </c>
      <c r="L17" t="s">
        <v>390</v>
      </c>
      <c r="M17" t="s">
        <v>103</v>
      </c>
      <c r="N17" t="s">
        <v>116</v>
      </c>
      <c r="O17" t="s">
        <v>17</v>
      </c>
      <c r="P17" s="4">
        <v>8748</v>
      </c>
      <c r="T17" t="str">
        <f t="shared" si="1"/>
        <v>ORD10170</v>
      </c>
      <c r="U17" t="str">
        <f t="shared" si="0"/>
        <v>Priya</v>
      </c>
      <c r="V17" t="str">
        <f t="shared" si="0"/>
        <v>Lipstick</v>
      </c>
      <c r="W17" t="str">
        <f t="shared" si="0"/>
        <v>Beauty</v>
      </c>
      <c r="X17" s="6">
        <f t="shared" si="0"/>
        <v>8748</v>
      </c>
      <c r="Z17" s="2" t="s">
        <v>60</v>
      </c>
      <c r="AA17" s="4">
        <v>1836</v>
      </c>
      <c r="AC17" s="12" t="str">
        <f t="shared" si="2"/>
        <v>Maharashtra</v>
      </c>
      <c r="AD17" s="13">
        <f>GETPIVOTDATA("Sales",$Z$14,"State","Karnataka")</f>
        <v>276960</v>
      </c>
      <c r="AE17" s="14" t="e">
        <f>AD17/AD21</f>
        <v>#REF!</v>
      </c>
    </row>
    <row r="18" spans="8:31" x14ac:dyDescent="0.3">
      <c r="H18" s="2" t="s">
        <v>868</v>
      </c>
      <c r="I18" s="4">
        <v>363596</v>
      </c>
      <c r="L18" t="s">
        <v>688</v>
      </c>
      <c r="M18" t="s">
        <v>125</v>
      </c>
      <c r="N18" t="s">
        <v>116</v>
      </c>
      <c r="O18" t="s">
        <v>17</v>
      </c>
      <c r="P18" s="4">
        <v>1508</v>
      </c>
      <c r="T18" t="str">
        <f t="shared" si="1"/>
        <v>ORD10364</v>
      </c>
      <c r="U18" t="str">
        <f t="shared" si="0"/>
        <v>Sanjay</v>
      </c>
      <c r="V18" t="str">
        <f t="shared" si="0"/>
        <v>Lipstick</v>
      </c>
      <c r="W18" t="str">
        <f t="shared" si="0"/>
        <v>Beauty</v>
      </c>
      <c r="X18" s="6">
        <f t="shared" si="0"/>
        <v>1508</v>
      </c>
      <c r="Z18" s="2" t="s">
        <v>100</v>
      </c>
      <c r="AA18" s="4">
        <v>8480</v>
      </c>
      <c r="AC18" s="12" t="str">
        <f t="shared" si="2"/>
        <v>Tamil Nadu</v>
      </c>
      <c r="AD18" s="13">
        <f>GETPIVOTDATA("Sales",$Z$14,"State","Maharashtra")</f>
        <v>1836</v>
      </c>
      <c r="AE18" s="14" t="e">
        <f>AD18/AD21</f>
        <v>#REF!</v>
      </c>
    </row>
    <row r="19" spans="8:31" x14ac:dyDescent="0.3">
      <c r="L19" t="s">
        <v>691</v>
      </c>
      <c r="M19" t="s">
        <v>170</v>
      </c>
      <c r="N19" t="s">
        <v>218</v>
      </c>
      <c r="O19" t="s">
        <v>17</v>
      </c>
      <c r="P19" s="4">
        <v>10212</v>
      </c>
      <c r="T19" t="str">
        <f t="shared" si="1"/>
        <v>ORD10366</v>
      </c>
      <c r="U19" t="str">
        <f t="shared" si="0"/>
        <v>Sneha</v>
      </c>
      <c r="V19" t="str">
        <f t="shared" si="0"/>
        <v>Face Wash</v>
      </c>
      <c r="W19" t="str">
        <f t="shared" si="0"/>
        <v>Beauty</v>
      </c>
      <c r="X19" s="6">
        <f t="shared" si="0"/>
        <v>10212</v>
      </c>
      <c r="Z19" s="2" t="s">
        <v>53</v>
      </c>
      <c r="AA19" s="4">
        <v>54744</v>
      </c>
      <c r="AC19" s="12" t="str">
        <f t="shared" si="2"/>
        <v>Telangana</v>
      </c>
      <c r="AD19" s="13">
        <f>GETPIVOTDATA("Sales",$Z$14,"State","Tamil Nadu")</f>
        <v>8480</v>
      </c>
      <c r="AE19" s="14" t="e">
        <f>AD19/AD21</f>
        <v>#REF!</v>
      </c>
    </row>
    <row r="20" spans="8:31" x14ac:dyDescent="0.3">
      <c r="L20" t="s">
        <v>711</v>
      </c>
      <c r="M20" t="s">
        <v>146</v>
      </c>
      <c r="N20" t="s">
        <v>130</v>
      </c>
      <c r="O20" t="s">
        <v>35</v>
      </c>
      <c r="P20" s="4">
        <v>248592</v>
      </c>
      <c r="T20" t="str">
        <f t="shared" si="1"/>
        <v>ORD10381</v>
      </c>
      <c r="U20" t="str">
        <f t="shared" si="0"/>
        <v>Meena</v>
      </c>
      <c r="V20" t="str">
        <f t="shared" si="0"/>
        <v>MacBook Air</v>
      </c>
      <c r="W20" t="str">
        <f t="shared" si="0"/>
        <v>Electronics</v>
      </c>
      <c r="X20" s="6">
        <f t="shared" si="0"/>
        <v>248592</v>
      </c>
      <c r="Z20" s="2" t="s">
        <v>868</v>
      </c>
      <c r="AA20" s="4">
        <v>385898</v>
      </c>
      <c r="AC20" s="12" t="str">
        <f t="shared" si="2"/>
        <v>Grand Total</v>
      </c>
      <c r="AD20" s="13">
        <f>GETPIVOTDATA("Sales",$Z$14,"State","Telangana")</f>
        <v>54744</v>
      </c>
      <c r="AE20" s="14" t="e">
        <f>AD20/AD21</f>
        <v>#REF!</v>
      </c>
    </row>
    <row r="21" spans="8:31" x14ac:dyDescent="0.3">
      <c r="L21" t="s">
        <v>749</v>
      </c>
      <c r="M21" t="s">
        <v>33</v>
      </c>
      <c r="N21" t="s">
        <v>59</v>
      </c>
      <c r="O21" t="s">
        <v>26</v>
      </c>
      <c r="P21" s="4">
        <v>44532</v>
      </c>
      <c r="T21" t="str">
        <f t="shared" si="1"/>
        <v>ORD10409</v>
      </c>
      <c r="U21" t="str">
        <f t="shared" si="0"/>
        <v>Neha</v>
      </c>
      <c r="V21" t="str">
        <f t="shared" si="0"/>
        <v>Bedsheet</v>
      </c>
      <c r="W21" t="str">
        <f t="shared" si="0"/>
        <v>Home</v>
      </c>
      <c r="X21" s="6">
        <f t="shared" si="0"/>
        <v>44532</v>
      </c>
      <c r="AC21" s="15" t="s">
        <v>878</v>
      </c>
      <c r="AD21" s="16" t="e">
        <f>SUM(AD15:AD20)</f>
        <v>#REF!</v>
      </c>
      <c r="AE21" s="17">
        <v>1</v>
      </c>
    </row>
    <row r="22" spans="8:31" x14ac:dyDescent="0.3">
      <c r="L22" t="s">
        <v>801</v>
      </c>
      <c r="M22" t="s">
        <v>40</v>
      </c>
      <c r="N22" t="s">
        <v>59</v>
      </c>
      <c r="O22" t="s">
        <v>26</v>
      </c>
      <c r="P22" s="4">
        <v>13380</v>
      </c>
      <c r="T22" s="8" t="s">
        <v>873</v>
      </c>
      <c r="U22" s="8"/>
      <c r="V22" s="8"/>
      <c r="W22" s="8"/>
      <c r="X22" s="9">
        <f>SUM(X14:X21)</f>
        <v>330758</v>
      </c>
    </row>
    <row r="23" spans="8:31" x14ac:dyDescent="0.3">
      <c r="L23" t="s">
        <v>812</v>
      </c>
      <c r="M23" t="s">
        <v>103</v>
      </c>
      <c r="N23" t="s">
        <v>159</v>
      </c>
      <c r="O23" t="s">
        <v>42</v>
      </c>
      <c r="P23" s="4">
        <v>34086</v>
      </c>
    </row>
    <row r="24" spans="8:31" x14ac:dyDescent="0.3">
      <c r="L24" t="s">
        <v>826</v>
      </c>
      <c r="M24" t="s">
        <v>103</v>
      </c>
      <c r="N24" t="s">
        <v>116</v>
      </c>
      <c r="O24" t="s">
        <v>17</v>
      </c>
      <c r="P24" s="4">
        <v>702</v>
      </c>
    </row>
    <row r="25" spans="8:31" x14ac:dyDescent="0.3">
      <c r="L25" t="s">
        <v>845</v>
      </c>
      <c r="M25" t="s">
        <v>40</v>
      </c>
      <c r="N25" t="s">
        <v>41</v>
      </c>
      <c r="O25" t="s">
        <v>42</v>
      </c>
      <c r="P25" s="4">
        <v>6972</v>
      </c>
    </row>
    <row r="26" spans="8:31" x14ac:dyDescent="0.3">
      <c r="L26" t="s">
        <v>868</v>
      </c>
      <c r="P26" s="4">
        <v>385898</v>
      </c>
    </row>
    <row r="27" spans="8:31" x14ac:dyDescent="0.3">
      <c r="P27"/>
    </row>
    <row r="28" spans="8:31" x14ac:dyDescent="0.3">
      <c r="P28"/>
    </row>
    <row r="29" spans="8:31" x14ac:dyDescent="0.3">
      <c r="P29"/>
    </row>
    <row r="30" spans="8:31" x14ac:dyDescent="0.3">
      <c r="P30"/>
    </row>
    <row r="31" spans="8:31" x14ac:dyDescent="0.3">
      <c r="P31"/>
    </row>
    <row r="32" spans="8:31" x14ac:dyDescent="0.3">
      <c r="P32"/>
    </row>
    <row r="33" spans="16:16" x14ac:dyDescent="0.3">
      <c r="P33"/>
    </row>
    <row r="34" spans="16:16" x14ac:dyDescent="0.3">
      <c r="P34"/>
    </row>
    <row r="35" spans="16:16" x14ac:dyDescent="0.3">
      <c r="P35"/>
    </row>
    <row r="36" spans="16:16" x14ac:dyDescent="0.3">
      <c r="P36"/>
    </row>
    <row r="37" spans="16:16" x14ac:dyDescent="0.3">
      <c r="P37"/>
    </row>
    <row r="38" spans="16:16" x14ac:dyDescent="0.3">
      <c r="P38"/>
    </row>
    <row r="39" spans="16:16" x14ac:dyDescent="0.3">
      <c r="P39"/>
    </row>
    <row r="40" spans="16:16" x14ac:dyDescent="0.3">
      <c r="P40"/>
    </row>
    <row r="41" spans="16:16" x14ac:dyDescent="0.3">
      <c r="P41"/>
    </row>
    <row r="42" spans="16:16" x14ac:dyDescent="0.3">
      <c r="P42"/>
    </row>
    <row r="43" spans="16:16" x14ac:dyDescent="0.3">
      <c r="P43"/>
    </row>
    <row r="44" spans="16:16" x14ac:dyDescent="0.3">
      <c r="P44"/>
    </row>
    <row r="45" spans="16:16" x14ac:dyDescent="0.3">
      <c r="P45"/>
    </row>
    <row r="46" spans="16:16" x14ac:dyDescent="0.3">
      <c r="P46"/>
    </row>
    <row r="47" spans="16:16" x14ac:dyDescent="0.3">
      <c r="P47"/>
    </row>
    <row r="48" spans="16:16" x14ac:dyDescent="0.3">
      <c r="P48"/>
    </row>
    <row r="49" spans="16:16" x14ac:dyDescent="0.3">
      <c r="P49"/>
    </row>
    <row r="50" spans="16:16" x14ac:dyDescent="0.3">
      <c r="P50"/>
    </row>
    <row r="51" spans="16:16" x14ac:dyDescent="0.3">
      <c r="P51"/>
    </row>
    <row r="52" spans="16:16" x14ac:dyDescent="0.3">
      <c r="P52"/>
    </row>
    <row r="53" spans="16:16" x14ac:dyDescent="0.3">
      <c r="P53"/>
    </row>
    <row r="54" spans="16:16" x14ac:dyDescent="0.3">
      <c r="P54"/>
    </row>
    <row r="55" spans="16:16" x14ac:dyDescent="0.3">
      <c r="P55"/>
    </row>
    <row r="56" spans="16:16" x14ac:dyDescent="0.3">
      <c r="P56"/>
    </row>
    <row r="57" spans="16:16" x14ac:dyDescent="0.3">
      <c r="P57"/>
    </row>
    <row r="58" spans="16:16" x14ac:dyDescent="0.3">
      <c r="P58"/>
    </row>
    <row r="59" spans="16:16" x14ac:dyDescent="0.3">
      <c r="P59"/>
    </row>
    <row r="60" spans="16:16" x14ac:dyDescent="0.3">
      <c r="P60"/>
    </row>
    <row r="61" spans="16:16" x14ac:dyDescent="0.3">
      <c r="P61"/>
    </row>
    <row r="62" spans="16:16" x14ac:dyDescent="0.3">
      <c r="P62"/>
    </row>
    <row r="63" spans="16:16" x14ac:dyDescent="0.3">
      <c r="P63"/>
    </row>
    <row r="64" spans="16:16" x14ac:dyDescent="0.3">
      <c r="P64"/>
    </row>
    <row r="65" spans="16:16" x14ac:dyDescent="0.3">
      <c r="P65"/>
    </row>
    <row r="66" spans="16:16" x14ac:dyDescent="0.3">
      <c r="P66"/>
    </row>
    <row r="67" spans="16:16" x14ac:dyDescent="0.3">
      <c r="P67"/>
    </row>
    <row r="68" spans="16:16" x14ac:dyDescent="0.3">
      <c r="P68"/>
    </row>
    <row r="69" spans="16:16" x14ac:dyDescent="0.3">
      <c r="P69"/>
    </row>
    <row r="70" spans="16:16" x14ac:dyDescent="0.3">
      <c r="P70"/>
    </row>
    <row r="71" spans="16:16" x14ac:dyDescent="0.3">
      <c r="P71"/>
    </row>
    <row r="72" spans="16:16" x14ac:dyDescent="0.3">
      <c r="P72"/>
    </row>
    <row r="73" spans="16:16" x14ac:dyDescent="0.3">
      <c r="P73"/>
    </row>
    <row r="74" spans="16:16" x14ac:dyDescent="0.3">
      <c r="P74"/>
    </row>
    <row r="75" spans="16:16" x14ac:dyDescent="0.3">
      <c r="P75"/>
    </row>
    <row r="76" spans="16:16" x14ac:dyDescent="0.3">
      <c r="P76"/>
    </row>
    <row r="77" spans="16:16" x14ac:dyDescent="0.3">
      <c r="P77"/>
    </row>
    <row r="78" spans="16:16" x14ac:dyDescent="0.3">
      <c r="P78"/>
    </row>
    <row r="79" spans="16:16" x14ac:dyDescent="0.3">
      <c r="P79"/>
    </row>
    <row r="80" spans="16:16" x14ac:dyDescent="0.3">
      <c r="P80"/>
    </row>
    <row r="81" spans="16:16" x14ac:dyDescent="0.3">
      <c r="P81"/>
    </row>
    <row r="82" spans="16:16" x14ac:dyDescent="0.3">
      <c r="P82"/>
    </row>
    <row r="83" spans="16:16" x14ac:dyDescent="0.3">
      <c r="P83"/>
    </row>
    <row r="84" spans="16:16" x14ac:dyDescent="0.3">
      <c r="P84"/>
    </row>
    <row r="85" spans="16:16" x14ac:dyDescent="0.3">
      <c r="P85"/>
    </row>
    <row r="86" spans="16:16" x14ac:dyDescent="0.3">
      <c r="P86"/>
    </row>
    <row r="87" spans="16:16" x14ac:dyDescent="0.3">
      <c r="P87"/>
    </row>
    <row r="88" spans="16:16" x14ac:dyDescent="0.3">
      <c r="P88"/>
    </row>
    <row r="89" spans="16:16" x14ac:dyDescent="0.3">
      <c r="P89"/>
    </row>
    <row r="90" spans="16:16" x14ac:dyDescent="0.3">
      <c r="P90"/>
    </row>
    <row r="91" spans="16:16" x14ac:dyDescent="0.3">
      <c r="P91"/>
    </row>
    <row r="92" spans="16:16" x14ac:dyDescent="0.3">
      <c r="P92"/>
    </row>
    <row r="93" spans="16:16" x14ac:dyDescent="0.3">
      <c r="P93"/>
    </row>
    <row r="94" spans="16:16" x14ac:dyDescent="0.3">
      <c r="P94"/>
    </row>
    <row r="95" spans="16:16" x14ac:dyDescent="0.3">
      <c r="P95"/>
    </row>
    <row r="96" spans="16:16" x14ac:dyDescent="0.3">
      <c r="P96"/>
    </row>
    <row r="97" spans="16:16" x14ac:dyDescent="0.3">
      <c r="P97"/>
    </row>
    <row r="98" spans="16:16" x14ac:dyDescent="0.3">
      <c r="P98"/>
    </row>
    <row r="99" spans="16:16" x14ac:dyDescent="0.3">
      <c r="P99"/>
    </row>
    <row r="100" spans="16:16" x14ac:dyDescent="0.3">
      <c r="P100"/>
    </row>
    <row r="101" spans="16:16" x14ac:dyDescent="0.3">
      <c r="P101"/>
    </row>
    <row r="102" spans="16:16" x14ac:dyDescent="0.3">
      <c r="P102"/>
    </row>
    <row r="103" spans="16:16" x14ac:dyDescent="0.3">
      <c r="P103"/>
    </row>
    <row r="104" spans="16:16" x14ac:dyDescent="0.3">
      <c r="P104"/>
    </row>
    <row r="105" spans="16:16" x14ac:dyDescent="0.3">
      <c r="P105"/>
    </row>
    <row r="106" spans="16:16" x14ac:dyDescent="0.3">
      <c r="P106"/>
    </row>
    <row r="107" spans="16:16" x14ac:dyDescent="0.3">
      <c r="P107"/>
    </row>
    <row r="108" spans="16:16" x14ac:dyDescent="0.3">
      <c r="P108"/>
    </row>
    <row r="109" spans="16:16" x14ac:dyDescent="0.3">
      <c r="P109"/>
    </row>
    <row r="110" spans="16:16" x14ac:dyDescent="0.3">
      <c r="P110"/>
    </row>
    <row r="111" spans="16:16" x14ac:dyDescent="0.3">
      <c r="P111"/>
    </row>
    <row r="112" spans="16:16" x14ac:dyDescent="0.3">
      <c r="P112"/>
    </row>
    <row r="113" spans="16:16" x14ac:dyDescent="0.3">
      <c r="P113"/>
    </row>
    <row r="114" spans="16:16" x14ac:dyDescent="0.3">
      <c r="P114"/>
    </row>
    <row r="115" spans="16:16" x14ac:dyDescent="0.3">
      <c r="P115"/>
    </row>
    <row r="116" spans="16:16" x14ac:dyDescent="0.3">
      <c r="P116"/>
    </row>
    <row r="117" spans="16:16" x14ac:dyDescent="0.3">
      <c r="P117"/>
    </row>
    <row r="118" spans="16:16" x14ac:dyDescent="0.3">
      <c r="P118"/>
    </row>
    <row r="119" spans="16:16" x14ac:dyDescent="0.3">
      <c r="P119"/>
    </row>
    <row r="120" spans="16:16" x14ac:dyDescent="0.3">
      <c r="P120"/>
    </row>
    <row r="121" spans="16:16" x14ac:dyDescent="0.3">
      <c r="P121"/>
    </row>
    <row r="122" spans="16:16" x14ac:dyDescent="0.3">
      <c r="P122"/>
    </row>
    <row r="123" spans="16:16" x14ac:dyDescent="0.3">
      <c r="P123"/>
    </row>
    <row r="124" spans="16:16" x14ac:dyDescent="0.3">
      <c r="P124"/>
    </row>
    <row r="125" spans="16:16" x14ac:dyDescent="0.3">
      <c r="P125"/>
    </row>
    <row r="126" spans="16:16" x14ac:dyDescent="0.3">
      <c r="P126"/>
    </row>
    <row r="127" spans="16:16" x14ac:dyDescent="0.3">
      <c r="P127"/>
    </row>
    <row r="128" spans="16:16" x14ac:dyDescent="0.3">
      <c r="P128"/>
    </row>
    <row r="129" spans="16:16" x14ac:dyDescent="0.3">
      <c r="P129"/>
    </row>
    <row r="130" spans="16:16" x14ac:dyDescent="0.3">
      <c r="P130"/>
    </row>
    <row r="131" spans="16:16" x14ac:dyDescent="0.3">
      <c r="P131"/>
    </row>
    <row r="132" spans="16:16" x14ac:dyDescent="0.3">
      <c r="P132"/>
    </row>
    <row r="133" spans="16:16" x14ac:dyDescent="0.3">
      <c r="P133"/>
    </row>
    <row r="134" spans="16:16" x14ac:dyDescent="0.3">
      <c r="P134"/>
    </row>
    <row r="135" spans="16:16" x14ac:dyDescent="0.3">
      <c r="P135"/>
    </row>
    <row r="136" spans="16:16" x14ac:dyDescent="0.3">
      <c r="P136"/>
    </row>
    <row r="137" spans="16:16" x14ac:dyDescent="0.3">
      <c r="P137"/>
    </row>
    <row r="138" spans="16:16" x14ac:dyDescent="0.3">
      <c r="P138"/>
    </row>
    <row r="139" spans="16:16" x14ac:dyDescent="0.3">
      <c r="P139"/>
    </row>
    <row r="140" spans="16:16" x14ac:dyDescent="0.3">
      <c r="P140"/>
    </row>
    <row r="141" spans="16:16" x14ac:dyDescent="0.3">
      <c r="P141"/>
    </row>
    <row r="142" spans="16:16" x14ac:dyDescent="0.3">
      <c r="P142"/>
    </row>
    <row r="143" spans="16:16" x14ac:dyDescent="0.3">
      <c r="P143"/>
    </row>
    <row r="144" spans="16:16" x14ac:dyDescent="0.3">
      <c r="P144"/>
    </row>
    <row r="145" spans="16:16" x14ac:dyDescent="0.3">
      <c r="P145"/>
    </row>
    <row r="146" spans="16:16" x14ac:dyDescent="0.3">
      <c r="P146"/>
    </row>
    <row r="147" spans="16:16" x14ac:dyDescent="0.3">
      <c r="P147"/>
    </row>
    <row r="148" spans="16:16" x14ac:dyDescent="0.3">
      <c r="P148"/>
    </row>
    <row r="149" spans="16:16" x14ac:dyDescent="0.3">
      <c r="P149"/>
    </row>
    <row r="150" spans="16:16" x14ac:dyDescent="0.3">
      <c r="P150"/>
    </row>
    <row r="151" spans="16:16" x14ac:dyDescent="0.3">
      <c r="P151"/>
    </row>
    <row r="152" spans="16:16" x14ac:dyDescent="0.3">
      <c r="P152"/>
    </row>
    <row r="153" spans="16:16" x14ac:dyDescent="0.3">
      <c r="P153"/>
    </row>
    <row r="154" spans="16:16" x14ac:dyDescent="0.3">
      <c r="P154"/>
    </row>
    <row r="155" spans="16:16" x14ac:dyDescent="0.3">
      <c r="P155"/>
    </row>
    <row r="156" spans="16:16" x14ac:dyDescent="0.3">
      <c r="P156"/>
    </row>
    <row r="157" spans="16:16" x14ac:dyDescent="0.3">
      <c r="P157"/>
    </row>
    <row r="158" spans="16:16" x14ac:dyDescent="0.3">
      <c r="P158"/>
    </row>
    <row r="159" spans="16:16" x14ac:dyDescent="0.3">
      <c r="P159"/>
    </row>
    <row r="160" spans="16:16" x14ac:dyDescent="0.3">
      <c r="P160"/>
    </row>
    <row r="161" spans="16:16" x14ac:dyDescent="0.3">
      <c r="P161"/>
    </row>
    <row r="162" spans="16:16" x14ac:dyDescent="0.3">
      <c r="P162"/>
    </row>
    <row r="163" spans="16:16" x14ac:dyDescent="0.3">
      <c r="P163"/>
    </row>
    <row r="164" spans="16:16" x14ac:dyDescent="0.3">
      <c r="P164"/>
    </row>
    <row r="165" spans="16:16" x14ac:dyDescent="0.3">
      <c r="P165"/>
    </row>
    <row r="166" spans="16:16" x14ac:dyDescent="0.3">
      <c r="P166"/>
    </row>
    <row r="167" spans="16:16" x14ac:dyDescent="0.3">
      <c r="P167"/>
    </row>
    <row r="168" spans="16:16" x14ac:dyDescent="0.3">
      <c r="P168"/>
    </row>
    <row r="169" spans="16:16" x14ac:dyDescent="0.3">
      <c r="P169"/>
    </row>
    <row r="170" spans="16:16" x14ac:dyDescent="0.3">
      <c r="P170"/>
    </row>
    <row r="171" spans="16:16" x14ac:dyDescent="0.3">
      <c r="P171"/>
    </row>
    <row r="172" spans="16:16" x14ac:dyDescent="0.3">
      <c r="P172"/>
    </row>
    <row r="173" spans="16:16" x14ac:dyDescent="0.3">
      <c r="P173"/>
    </row>
    <row r="174" spans="16:16" x14ac:dyDescent="0.3">
      <c r="P174"/>
    </row>
    <row r="175" spans="16:16" x14ac:dyDescent="0.3">
      <c r="P175"/>
    </row>
    <row r="176" spans="16:16" x14ac:dyDescent="0.3">
      <c r="P176"/>
    </row>
    <row r="177" spans="16:16" x14ac:dyDescent="0.3">
      <c r="P177"/>
    </row>
    <row r="178" spans="16:16" x14ac:dyDescent="0.3">
      <c r="P178"/>
    </row>
    <row r="179" spans="16:16" x14ac:dyDescent="0.3">
      <c r="P179"/>
    </row>
    <row r="180" spans="16:16" x14ac:dyDescent="0.3">
      <c r="P180"/>
    </row>
    <row r="181" spans="16:16" x14ac:dyDescent="0.3">
      <c r="P181"/>
    </row>
    <row r="182" spans="16:16" x14ac:dyDescent="0.3">
      <c r="P182"/>
    </row>
    <row r="183" spans="16:16" x14ac:dyDescent="0.3">
      <c r="P183"/>
    </row>
    <row r="184" spans="16:16" x14ac:dyDescent="0.3">
      <c r="P184"/>
    </row>
    <row r="185" spans="16:16" x14ac:dyDescent="0.3">
      <c r="P185"/>
    </row>
    <row r="186" spans="16:16" x14ac:dyDescent="0.3">
      <c r="P186"/>
    </row>
    <row r="187" spans="16:16" x14ac:dyDescent="0.3">
      <c r="P187"/>
    </row>
    <row r="188" spans="16:16" x14ac:dyDescent="0.3">
      <c r="P188"/>
    </row>
    <row r="189" spans="16:16" x14ac:dyDescent="0.3">
      <c r="P189"/>
    </row>
    <row r="190" spans="16:16" x14ac:dyDescent="0.3">
      <c r="P190"/>
    </row>
    <row r="191" spans="16:16" x14ac:dyDescent="0.3">
      <c r="P191"/>
    </row>
    <row r="192" spans="16:16" x14ac:dyDescent="0.3">
      <c r="P192"/>
    </row>
    <row r="193" spans="16:16" x14ac:dyDescent="0.3">
      <c r="P193"/>
    </row>
    <row r="194" spans="16:16" x14ac:dyDescent="0.3">
      <c r="P194"/>
    </row>
    <row r="195" spans="16:16" x14ac:dyDescent="0.3">
      <c r="P195"/>
    </row>
    <row r="196" spans="16:16" x14ac:dyDescent="0.3">
      <c r="P196"/>
    </row>
    <row r="197" spans="16:16" x14ac:dyDescent="0.3">
      <c r="P197"/>
    </row>
    <row r="198" spans="16:16" x14ac:dyDescent="0.3">
      <c r="P198"/>
    </row>
    <row r="199" spans="16:16" x14ac:dyDescent="0.3">
      <c r="P199"/>
    </row>
    <row r="200" spans="16:16" x14ac:dyDescent="0.3">
      <c r="P200"/>
    </row>
    <row r="201" spans="16:16" x14ac:dyDescent="0.3">
      <c r="P201"/>
    </row>
    <row r="202" spans="16:16" x14ac:dyDescent="0.3">
      <c r="P202"/>
    </row>
    <row r="203" spans="16:16" x14ac:dyDescent="0.3">
      <c r="P203"/>
    </row>
    <row r="204" spans="16:16" x14ac:dyDescent="0.3">
      <c r="P204"/>
    </row>
    <row r="205" spans="16:16" x14ac:dyDescent="0.3">
      <c r="P205"/>
    </row>
    <row r="206" spans="16:16" x14ac:dyDescent="0.3">
      <c r="P206"/>
    </row>
    <row r="207" spans="16:16" x14ac:dyDescent="0.3">
      <c r="P207"/>
    </row>
    <row r="208" spans="16:16" x14ac:dyDescent="0.3">
      <c r="P208"/>
    </row>
    <row r="209" spans="16:16" x14ac:dyDescent="0.3">
      <c r="P209"/>
    </row>
    <row r="210" spans="16:16" x14ac:dyDescent="0.3">
      <c r="P210"/>
    </row>
    <row r="211" spans="16:16" x14ac:dyDescent="0.3">
      <c r="P211"/>
    </row>
    <row r="212" spans="16:16" x14ac:dyDescent="0.3">
      <c r="P212"/>
    </row>
    <row r="213" spans="16:16" x14ac:dyDescent="0.3">
      <c r="P213"/>
    </row>
    <row r="214" spans="16:16" x14ac:dyDescent="0.3">
      <c r="P214"/>
    </row>
    <row r="215" spans="16:16" x14ac:dyDescent="0.3">
      <c r="P215"/>
    </row>
    <row r="216" spans="16:16" x14ac:dyDescent="0.3">
      <c r="P216"/>
    </row>
    <row r="217" spans="16:16" x14ac:dyDescent="0.3">
      <c r="P217"/>
    </row>
    <row r="218" spans="16:16" x14ac:dyDescent="0.3">
      <c r="P218"/>
    </row>
    <row r="219" spans="16:16" x14ac:dyDescent="0.3">
      <c r="P219"/>
    </row>
    <row r="220" spans="16:16" x14ac:dyDescent="0.3">
      <c r="P220"/>
    </row>
    <row r="221" spans="16:16" x14ac:dyDescent="0.3">
      <c r="P221"/>
    </row>
    <row r="222" spans="16:16" x14ac:dyDescent="0.3">
      <c r="P222"/>
    </row>
    <row r="223" spans="16:16" x14ac:dyDescent="0.3">
      <c r="P223"/>
    </row>
    <row r="224" spans="16:16" x14ac:dyDescent="0.3">
      <c r="P224"/>
    </row>
    <row r="225" spans="16:16" x14ac:dyDescent="0.3">
      <c r="P225"/>
    </row>
    <row r="226" spans="16:16" x14ac:dyDescent="0.3">
      <c r="P226"/>
    </row>
    <row r="227" spans="16:16" x14ac:dyDescent="0.3">
      <c r="P227"/>
    </row>
    <row r="228" spans="16:16" x14ac:dyDescent="0.3">
      <c r="P228"/>
    </row>
    <row r="229" spans="16:16" x14ac:dyDescent="0.3">
      <c r="P229"/>
    </row>
    <row r="230" spans="16:16" x14ac:dyDescent="0.3">
      <c r="P230"/>
    </row>
    <row r="231" spans="16:16" x14ac:dyDescent="0.3">
      <c r="P231"/>
    </row>
    <row r="232" spans="16:16" x14ac:dyDescent="0.3">
      <c r="P232"/>
    </row>
    <row r="233" spans="16:16" x14ac:dyDescent="0.3">
      <c r="P233"/>
    </row>
    <row r="234" spans="16:16" x14ac:dyDescent="0.3">
      <c r="P234"/>
    </row>
    <row r="235" spans="16:16" x14ac:dyDescent="0.3">
      <c r="P235"/>
    </row>
    <row r="236" spans="16:16" x14ac:dyDescent="0.3">
      <c r="P236"/>
    </row>
    <row r="237" spans="16:16" x14ac:dyDescent="0.3">
      <c r="P237"/>
    </row>
    <row r="238" spans="16:16" x14ac:dyDescent="0.3">
      <c r="P238"/>
    </row>
    <row r="239" spans="16:16" x14ac:dyDescent="0.3">
      <c r="P239"/>
    </row>
    <row r="240" spans="16:16" x14ac:dyDescent="0.3">
      <c r="P240"/>
    </row>
    <row r="241" spans="16:16" x14ac:dyDescent="0.3">
      <c r="P241"/>
    </row>
    <row r="242" spans="16:16" x14ac:dyDescent="0.3">
      <c r="P242"/>
    </row>
    <row r="243" spans="16:16" x14ac:dyDescent="0.3">
      <c r="P243"/>
    </row>
    <row r="244" spans="16:16" x14ac:dyDescent="0.3">
      <c r="P244"/>
    </row>
    <row r="245" spans="16:16" x14ac:dyDescent="0.3">
      <c r="P245"/>
    </row>
    <row r="246" spans="16:16" x14ac:dyDescent="0.3">
      <c r="P246"/>
    </row>
    <row r="247" spans="16:16" x14ac:dyDescent="0.3">
      <c r="P247"/>
    </row>
    <row r="248" spans="16:16" x14ac:dyDescent="0.3">
      <c r="P248"/>
    </row>
    <row r="249" spans="16:16" x14ac:dyDescent="0.3">
      <c r="P249"/>
    </row>
    <row r="250" spans="16:16" x14ac:dyDescent="0.3">
      <c r="P250"/>
    </row>
    <row r="251" spans="16:16" x14ac:dyDescent="0.3">
      <c r="P251"/>
    </row>
    <row r="252" spans="16:16" x14ac:dyDescent="0.3">
      <c r="P252"/>
    </row>
    <row r="253" spans="16:16" x14ac:dyDescent="0.3">
      <c r="P253"/>
    </row>
    <row r="254" spans="16:16" x14ac:dyDescent="0.3">
      <c r="P254"/>
    </row>
    <row r="255" spans="16:16" x14ac:dyDescent="0.3">
      <c r="P255"/>
    </row>
    <row r="256" spans="16:16" x14ac:dyDescent="0.3">
      <c r="P256"/>
    </row>
    <row r="257" spans="16:16" x14ac:dyDescent="0.3">
      <c r="P257"/>
    </row>
    <row r="258" spans="16:16" x14ac:dyDescent="0.3">
      <c r="P258"/>
    </row>
    <row r="259" spans="16:16" x14ac:dyDescent="0.3">
      <c r="P259"/>
    </row>
    <row r="260" spans="16:16" x14ac:dyDescent="0.3">
      <c r="P260"/>
    </row>
    <row r="261" spans="16:16" x14ac:dyDescent="0.3">
      <c r="P261"/>
    </row>
    <row r="262" spans="16:16" x14ac:dyDescent="0.3">
      <c r="P262"/>
    </row>
    <row r="263" spans="16:16" x14ac:dyDescent="0.3">
      <c r="P263"/>
    </row>
    <row r="264" spans="16:16" x14ac:dyDescent="0.3">
      <c r="P264"/>
    </row>
    <row r="265" spans="16:16" x14ac:dyDescent="0.3">
      <c r="P265"/>
    </row>
    <row r="266" spans="16:16" x14ac:dyDescent="0.3">
      <c r="P266"/>
    </row>
    <row r="267" spans="16:16" x14ac:dyDescent="0.3">
      <c r="P267"/>
    </row>
    <row r="268" spans="16:16" x14ac:dyDescent="0.3">
      <c r="P268"/>
    </row>
    <row r="269" spans="16:16" x14ac:dyDescent="0.3">
      <c r="P269"/>
    </row>
    <row r="270" spans="16:16" x14ac:dyDescent="0.3">
      <c r="P270"/>
    </row>
    <row r="271" spans="16:16" x14ac:dyDescent="0.3">
      <c r="P271"/>
    </row>
    <row r="272" spans="16:16" x14ac:dyDescent="0.3">
      <c r="P272"/>
    </row>
    <row r="273" spans="16:16" x14ac:dyDescent="0.3">
      <c r="P273"/>
    </row>
    <row r="274" spans="16:16" x14ac:dyDescent="0.3">
      <c r="P274"/>
    </row>
    <row r="275" spans="16:16" x14ac:dyDescent="0.3">
      <c r="P275"/>
    </row>
    <row r="276" spans="16:16" x14ac:dyDescent="0.3">
      <c r="P276"/>
    </row>
    <row r="277" spans="16:16" x14ac:dyDescent="0.3">
      <c r="P277"/>
    </row>
    <row r="278" spans="16:16" x14ac:dyDescent="0.3">
      <c r="P278"/>
    </row>
    <row r="279" spans="16:16" x14ac:dyDescent="0.3">
      <c r="P279"/>
    </row>
    <row r="280" spans="16:16" x14ac:dyDescent="0.3">
      <c r="P280"/>
    </row>
    <row r="281" spans="16:16" x14ac:dyDescent="0.3">
      <c r="P281"/>
    </row>
    <row r="282" spans="16:16" x14ac:dyDescent="0.3">
      <c r="P282"/>
    </row>
    <row r="283" spans="16:16" x14ac:dyDescent="0.3">
      <c r="P283"/>
    </row>
    <row r="284" spans="16:16" x14ac:dyDescent="0.3">
      <c r="P284"/>
    </row>
    <row r="285" spans="16:16" x14ac:dyDescent="0.3">
      <c r="P285"/>
    </row>
    <row r="286" spans="16:16" x14ac:dyDescent="0.3">
      <c r="P286"/>
    </row>
    <row r="287" spans="16:16" x14ac:dyDescent="0.3">
      <c r="P287"/>
    </row>
    <row r="288" spans="16:16" x14ac:dyDescent="0.3">
      <c r="P288"/>
    </row>
    <row r="289" spans="16:16" x14ac:dyDescent="0.3">
      <c r="P289"/>
    </row>
    <row r="290" spans="16:16" x14ac:dyDescent="0.3">
      <c r="P290"/>
    </row>
    <row r="291" spans="16:16" x14ac:dyDescent="0.3">
      <c r="P291"/>
    </row>
    <row r="292" spans="16:16" x14ac:dyDescent="0.3">
      <c r="P292"/>
    </row>
    <row r="293" spans="16:16" x14ac:dyDescent="0.3">
      <c r="P293"/>
    </row>
    <row r="294" spans="16:16" x14ac:dyDescent="0.3">
      <c r="P294"/>
    </row>
    <row r="295" spans="16:16" x14ac:dyDescent="0.3">
      <c r="P295"/>
    </row>
    <row r="296" spans="16:16" x14ac:dyDescent="0.3">
      <c r="P296"/>
    </row>
    <row r="297" spans="16:16" x14ac:dyDescent="0.3">
      <c r="P297"/>
    </row>
    <row r="298" spans="16:16" x14ac:dyDescent="0.3">
      <c r="P298"/>
    </row>
    <row r="299" spans="16:16" x14ac:dyDescent="0.3">
      <c r="P299"/>
    </row>
    <row r="300" spans="16:16" x14ac:dyDescent="0.3">
      <c r="P300"/>
    </row>
    <row r="301" spans="16:16" x14ac:dyDescent="0.3">
      <c r="P301"/>
    </row>
    <row r="302" spans="16:16" x14ac:dyDescent="0.3">
      <c r="P302"/>
    </row>
    <row r="303" spans="16:16" x14ac:dyDescent="0.3">
      <c r="P303"/>
    </row>
    <row r="304" spans="16:16" x14ac:dyDescent="0.3">
      <c r="P304"/>
    </row>
    <row r="305" spans="16:16" x14ac:dyDescent="0.3">
      <c r="P305"/>
    </row>
    <row r="306" spans="16:16" x14ac:dyDescent="0.3">
      <c r="P306"/>
    </row>
    <row r="307" spans="16:16" x14ac:dyDescent="0.3">
      <c r="P307"/>
    </row>
    <row r="308" spans="16:16" x14ac:dyDescent="0.3">
      <c r="P308"/>
    </row>
    <row r="309" spans="16:16" x14ac:dyDescent="0.3">
      <c r="P309"/>
    </row>
    <row r="310" spans="16:16" x14ac:dyDescent="0.3">
      <c r="P310"/>
    </row>
    <row r="311" spans="16:16" x14ac:dyDescent="0.3">
      <c r="P311"/>
    </row>
    <row r="312" spans="16:16" x14ac:dyDescent="0.3">
      <c r="P312"/>
    </row>
    <row r="313" spans="16:16" x14ac:dyDescent="0.3">
      <c r="P313"/>
    </row>
    <row r="314" spans="16:16" x14ac:dyDescent="0.3">
      <c r="P314"/>
    </row>
    <row r="315" spans="16:16" x14ac:dyDescent="0.3">
      <c r="P315"/>
    </row>
    <row r="316" spans="16:16" x14ac:dyDescent="0.3">
      <c r="P316"/>
    </row>
    <row r="317" spans="16:16" x14ac:dyDescent="0.3">
      <c r="P317"/>
    </row>
    <row r="318" spans="16:16" x14ac:dyDescent="0.3">
      <c r="P318"/>
    </row>
    <row r="319" spans="16:16" x14ac:dyDescent="0.3">
      <c r="P319"/>
    </row>
    <row r="320" spans="16:16" x14ac:dyDescent="0.3">
      <c r="P320"/>
    </row>
    <row r="321" spans="16:16" x14ac:dyDescent="0.3">
      <c r="P321"/>
    </row>
    <row r="322" spans="16:16" x14ac:dyDescent="0.3">
      <c r="P322"/>
    </row>
    <row r="323" spans="16:16" x14ac:dyDescent="0.3">
      <c r="P323"/>
    </row>
    <row r="324" spans="16:16" x14ac:dyDescent="0.3">
      <c r="P324"/>
    </row>
    <row r="325" spans="16:16" x14ac:dyDescent="0.3">
      <c r="P325"/>
    </row>
    <row r="326" spans="16:16" x14ac:dyDescent="0.3">
      <c r="P326"/>
    </row>
    <row r="327" spans="16:16" x14ac:dyDescent="0.3">
      <c r="P327"/>
    </row>
    <row r="328" spans="16:16" x14ac:dyDescent="0.3">
      <c r="P328"/>
    </row>
    <row r="329" spans="16:16" x14ac:dyDescent="0.3">
      <c r="P329"/>
    </row>
    <row r="330" spans="16:16" x14ac:dyDescent="0.3">
      <c r="P330"/>
    </row>
    <row r="331" spans="16:16" x14ac:dyDescent="0.3">
      <c r="P331"/>
    </row>
    <row r="332" spans="16:16" x14ac:dyDescent="0.3">
      <c r="P332"/>
    </row>
    <row r="333" spans="16:16" x14ac:dyDescent="0.3">
      <c r="P333"/>
    </row>
    <row r="334" spans="16:16" x14ac:dyDescent="0.3">
      <c r="P334"/>
    </row>
    <row r="335" spans="16:16" x14ac:dyDescent="0.3">
      <c r="P335"/>
    </row>
    <row r="336" spans="16:16" x14ac:dyDescent="0.3">
      <c r="P336"/>
    </row>
    <row r="337" spans="16:16" x14ac:dyDescent="0.3">
      <c r="P337"/>
    </row>
    <row r="338" spans="16:16" x14ac:dyDescent="0.3">
      <c r="P338"/>
    </row>
    <row r="339" spans="16:16" x14ac:dyDescent="0.3">
      <c r="P339"/>
    </row>
    <row r="340" spans="16:16" x14ac:dyDescent="0.3">
      <c r="P340"/>
    </row>
    <row r="341" spans="16:16" x14ac:dyDescent="0.3">
      <c r="P341"/>
    </row>
    <row r="342" spans="16:16" x14ac:dyDescent="0.3">
      <c r="P342"/>
    </row>
    <row r="343" spans="16:16" x14ac:dyDescent="0.3">
      <c r="P343"/>
    </row>
    <row r="344" spans="16:16" x14ac:dyDescent="0.3">
      <c r="P344"/>
    </row>
    <row r="345" spans="16:16" x14ac:dyDescent="0.3">
      <c r="P345"/>
    </row>
    <row r="346" spans="16:16" x14ac:dyDescent="0.3">
      <c r="P346"/>
    </row>
    <row r="347" spans="16:16" x14ac:dyDescent="0.3">
      <c r="P347"/>
    </row>
    <row r="348" spans="16:16" x14ac:dyDescent="0.3">
      <c r="P348"/>
    </row>
    <row r="349" spans="16:16" x14ac:dyDescent="0.3">
      <c r="P349"/>
    </row>
    <row r="350" spans="16:16" x14ac:dyDescent="0.3">
      <c r="P350"/>
    </row>
    <row r="351" spans="16:16" x14ac:dyDescent="0.3">
      <c r="P351"/>
    </row>
    <row r="352" spans="16:16" x14ac:dyDescent="0.3">
      <c r="P352"/>
    </row>
    <row r="353" spans="16:16" x14ac:dyDescent="0.3">
      <c r="P353"/>
    </row>
    <row r="354" spans="16:16" x14ac:dyDescent="0.3">
      <c r="P354"/>
    </row>
    <row r="355" spans="16:16" x14ac:dyDescent="0.3">
      <c r="P355"/>
    </row>
    <row r="356" spans="16:16" x14ac:dyDescent="0.3">
      <c r="P356"/>
    </row>
    <row r="357" spans="16:16" x14ac:dyDescent="0.3">
      <c r="P357"/>
    </row>
    <row r="358" spans="16:16" x14ac:dyDescent="0.3">
      <c r="P358"/>
    </row>
    <row r="359" spans="16:16" x14ac:dyDescent="0.3">
      <c r="P359"/>
    </row>
    <row r="360" spans="16:16" x14ac:dyDescent="0.3">
      <c r="P360"/>
    </row>
    <row r="361" spans="16:16" x14ac:dyDescent="0.3">
      <c r="P361"/>
    </row>
    <row r="362" spans="16:16" x14ac:dyDescent="0.3">
      <c r="P362"/>
    </row>
    <row r="363" spans="16:16" x14ac:dyDescent="0.3">
      <c r="P363"/>
    </row>
    <row r="364" spans="16:16" x14ac:dyDescent="0.3">
      <c r="P364"/>
    </row>
    <row r="365" spans="16:16" x14ac:dyDescent="0.3">
      <c r="P365"/>
    </row>
    <row r="366" spans="16:16" x14ac:dyDescent="0.3">
      <c r="P366"/>
    </row>
    <row r="367" spans="16:16" x14ac:dyDescent="0.3">
      <c r="P367"/>
    </row>
    <row r="368" spans="16:16" x14ac:dyDescent="0.3">
      <c r="P368"/>
    </row>
    <row r="369" spans="16:16" x14ac:dyDescent="0.3">
      <c r="P369"/>
    </row>
    <row r="370" spans="16:16" x14ac:dyDescent="0.3">
      <c r="P370"/>
    </row>
    <row r="371" spans="16:16" x14ac:dyDescent="0.3">
      <c r="P371"/>
    </row>
    <row r="372" spans="16:16" x14ac:dyDescent="0.3">
      <c r="P372"/>
    </row>
    <row r="373" spans="16:16" x14ac:dyDescent="0.3">
      <c r="P373"/>
    </row>
    <row r="374" spans="16:16" x14ac:dyDescent="0.3">
      <c r="P374"/>
    </row>
    <row r="375" spans="16:16" x14ac:dyDescent="0.3">
      <c r="P375"/>
    </row>
    <row r="376" spans="16:16" x14ac:dyDescent="0.3">
      <c r="P376"/>
    </row>
    <row r="377" spans="16:16" x14ac:dyDescent="0.3">
      <c r="P377"/>
    </row>
    <row r="378" spans="16:16" x14ac:dyDescent="0.3">
      <c r="P378"/>
    </row>
    <row r="379" spans="16:16" x14ac:dyDescent="0.3">
      <c r="P379"/>
    </row>
    <row r="380" spans="16:16" x14ac:dyDescent="0.3">
      <c r="P380"/>
    </row>
    <row r="381" spans="16:16" x14ac:dyDescent="0.3">
      <c r="P381"/>
    </row>
    <row r="382" spans="16:16" x14ac:dyDescent="0.3">
      <c r="P382"/>
    </row>
    <row r="383" spans="16:16" x14ac:dyDescent="0.3">
      <c r="P383"/>
    </row>
    <row r="384" spans="16:16" x14ac:dyDescent="0.3">
      <c r="P384"/>
    </row>
    <row r="385" spans="16:16" x14ac:dyDescent="0.3">
      <c r="P385"/>
    </row>
    <row r="386" spans="16:16" x14ac:dyDescent="0.3">
      <c r="P386"/>
    </row>
    <row r="387" spans="16:16" x14ac:dyDescent="0.3">
      <c r="P387"/>
    </row>
    <row r="388" spans="16:16" x14ac:dyDescent="0.3">
      <c r="P388"/>
    </row>
    <row r="389" spans="16:16" x14ac:dyDescent="0.3">
      <c r="P389"/>
    </row>
    <row r="390" spans="16:16" x14ac:dyDescent="0.3">
      <c r="P390"/>
    </row>
    <row r="391" spans="16:16" x14ac:dyDescent="0.3">
      <c r="P391"/>
    </row>
    <row r="392" spans="16:16" x14ac:dyDescent="0.3">
      <c r="P392"/>
    </row>
    <row r="393" spans="16:16" x14ac:dyDescent="0.3">
      <c r="P393"/>
    </row>
    <row r="394" spans="16:16" x14ac:dyDescent="0.3">
      <c r="P394"/>
    </row>
    <row r="395" spans="16:16" x14ac:dyDescent="0.3">
      <c r="P395"/>
    </row>
    <row r="396" spans="16:16" x14ac:dyDescent="0.3">
      <c r="P396"/>
    </row>
    <row r="397" spans="16:16" x14ac:dyDescent="0.3">
      <c r="P397"/>
    </row>
    <row r="398" spans="16:16" x14ac:dyDescent="0.3">
      <c r="P398"/>
    </row>
    <row r="399" spans="16:16" x14ac:dyDescent="0.3">
      <c r="P399"/>
    </row>
    <row r="400" spans="16:16" x14ac:dyDescent="0.3">
      <c r="P400"/>
    </row>
    <row r="401" spans="16:16" x14ac:dyDescent="0.3">
      <c r="P401"/>
    </row>
    <row r="402" spans="16:16" x14ac:dyDescent="0.3">
      <c r="P402"/>
    </row>
    <row r="403" spans="16:16" x14ac:dyDescent="0.3">
      <c r="P403"/>
    </row>
    <row r="404" spans="16:16" x14ac:dyDescent="0.3">
      <c r="P404"/>
    </row>
    <row r="405" spans="16:16" x14ac:dyDescent="0.3">
      <c r="P405"/>
    </row>
    <row r="406" spans="16:16" x14ac:dyDescent="0.3">
      <c r="P406"/>
    </row>
    <row r="407" spans="16:16" x14ac:dyDescent="0.3">
      <c r="P407"/>
    </row>
    <row r="408" spans="16:16" x14ac:dyDescent="0.3">
      <c r="P408"/>
    </row>
    <row r="409" spans="16:16" x14ac:dyDescent="0.3">
      <c r="P409"/>
    </row>
    <row r="410" spans="16:16" x14ac:dyDescent="0.3">
      <c r="P410"/>
    </row>
    <row r="411" spans="16:16" x14ac:dyDescent="0.3">
      <c r="P411"/>
    </row>
    <row r="412" spans="16:16" x14ac:dyDescent="0.3">
      <c r="P412"/>
    </row>
    <row r="413" spans="16:16" x14ac:dyDescent="0.3">
      <c r="P413"/>
    </row>
    <row r="414" spans="16:16" x14ac:dyDescent="0.3">
      <c r="P414"/>
    </row>
    <row r="415" spans="16:16" x14ac:dyDescent="0.3">
      <c r="P415"/>
    </row>
    <row r="416" spans="16:16" x14ac:dyDescent="0.3">
      <c r="P416"/>
    </row>
    <row r="417" spans="16:16" x14ac:dyDescent="0.3">
      <c r="P417"/>
    </row>
    <row r="418" spans="16:16" x14ac:dyDescent="0.3">
      <c r="P418"/>
    </row>
    <row r="419" spans="16:16" x14ac:dyDescent="0.3">
      <c r="P419"/>
    </row>
    <row r="420" spans="16:16" x14ac:dyDescent="0.3">
      <c r="P420"/>
    </row>
    <row r="421" spans="16:16" x14ac:dyDescent="0.3">
      <c r="P421"/>
    </row>
    <row r="422" spans="16:16" x14ac:dyDescent="0.3">
      <c r="P422"/>
    </row>
    <row r="423" spans="16:16" x14ac:dyDescent="0.3">
      <c r="P423"/>
    </row>
    <row r="424" spans="16:16" x14ac:dyDescent="0.3">
      <c r="P424"/>
    </row>
    <row r="425" spans="16:16" x14ac:dyDescent="0.3">
      <c r="P425"/>
    </row>
    <row r="426" spans="16:16" x14ac:dyDescent="0.3">
      <c r="P426"/>
    </row>
    <row r="427" spans="16:16" x14ac:dyDescent="0.3">
      <c r="P427"/>
    </row>
    <row r="428" spans="16:16" x14ac:dyDescent="0.3">
      <c r="P428"/>
    </row>
    <row r="429" spans="16:16" x14ac:dyDescent="0.3">
      <c r="P429"/>
    </row>
    <row r="430" spans="16:16" x14ac:dyDescent="0.3">
      <c r="P430"/>
    </row>
    <row r="431" spans="16:16" x14ac:dyDescent="0.3">
      <c r="P431"/>
    </row>
    <row r="432" spans="16:16" x14ac:dyDescent="0.3">
      <c r="P432"/>
    </row>
    <row r="433" spans="16:16" x14ac:dyDescent="0.3">
      <c r="P433"/>
    </row>
    <row r="434" spans="16:16" x14ac:dyDescent="0.3">
      <c r="P434"/>
    </row>
    <row r="435" spans="16:16" x14ac:dyDescent="0.3">
      <c r="P435"/>
    </row>
    <row r="436" spans="16:16" x14ac:dyDescent="0.3">
      <c r="P436"/>
    </row>
    <row r="437" spans="16:16" x14ac:dyDescent="0.3">
      <c r="P437"/>
    </row>
    <row r="438" spans="16:16" x14ac:dyDescent="0.3">
      <c r="P438"/>
    </row>
    <row r="439" spans="16:16" x14ac:dyDescent="0.3">
      <c r="P439"/>
    </row>
    <row r="440" spans="16:16" x14ac:dyDescent="0.3">
      <c r="P440"/>
    </row>
    <row r="441" spans="16:16" x14ac:dyDescent="0.3">
      <c r="P441"/>
    </row>
    <row r="442" spans="16:16" x14ac:dyDescent="0.3">
      <c r="P442"/>
    </row>
    <row r="443" spans="16:16" x14ac:dyDescent="0.3">
      <c r="P443"/>
    </row>
    <row r="444" spans="16:16" x14ac:dyDescent="0.3">
      <c r="P444"/>
    </row>
    <row r="445" spans="16:16" x14ac:dyDescent="0.3">
      <c r="P445"/>
    </row>
    <row r="446" spans="16:16" x14ac:dyDescent="0.3">
      <c r="P446"/>
    </row>
    <row r="447" spans="16:16" x14ac:dyDescent="0.3">
      <c r="P447"/>
    </row>
    <row r="448" spans="16:16" x14ac:dyDescent="0.3">
      <c r="P448"/>
    </row>
    <row r="449" spans="16:16" x14ac:dyDescent="0.3">
      <c r="P449"/>
    </row>
    <row r="450" spans="16:16" x14ac:dyDescent="0.3">
      <c r="P450"/>
    </row>
    <row r="451" spans="16:16" x14ac:dyDescent="0.3">
      <c r="P451"/>
    </row>
    <row r="452" spans="16:16" x14ac:dyDescent="0.3">
      <c r="P452"/>
    </row>
    <row r="453" spans="16:16" x14ac:dyDescent="0.3">
      <c r="P453"/>
    </row>
    <row r="454" spans="16:16" x14ac:dyDescent="0.3">
      <c r="P454"/>
    </row>
    <row r="455" spans="16:16" x14ac:dyDescent="0.3">
      <c r="P455"/>
    </row>
    <row r="456" spans="16:16" x14ac:dyDescent="0.3">
      <c r="P456"/>
    </row>
    <row r="457" spans="16:16" x14ac:dyDescent="0.3">
      <c r="P457"/>
    </row>
    <row r="458" spans="16:16" x14ac:dyDescent="0.3">
      <c r="P458"/>
    </row>
    <row r="459" spans="16:16" x14ac:dyDescent="0.3">
      <c r="P459"/>
    </row>
    <row r="460" spans="16:16" x14ac:dyDescent="0.3">
      <c r="P460"/>
    </row>
    <row r="461" spans="16:16" x14ac:dyDescent="0.3">
      <c r="P461"/>
    </row>
    <row r="462" spans="16:16" x14ac:dyDescent="0.3">
      <c r="P462"/>
    </row>
    <row r="463" spans="16:16" x14ac:dyDescent="0.3">
      <c r="P463"/>
    </row>
    <row r="464" spans="16:16" x14ac:dyDescent="0.3">
      <c r="P464"/>
    </row>
    <row r="465" spans="16:16" x14ac:dyDescent="0.3">
      <c r="P465"/>
    </row>
    <row r="466" spans="16:16" x14ac:dyDescent="0.3">
      <c r="P466"/>
    </row>
    <row r="467" spans="16:16" x14ac:dyDescent="0.3">
      <c r="P467"/>
    </row>
    <row r="468" spans="16:16" x14ac:dyDescent="0.3">
      <c r="P468"/>
    </row>
    <row r="469" spans="16:16" x14ac:dyDescent="0.3">
      <c r="P469"/>
    </row>
    <row r="470" spans="16:16" x14ac:dyDescent="0.3">
      <c r="P470"/>
    </row>
    <row r="471" spans="16:16" x14ac:dyDescent="0.3">
      <c r="P471"/>
    </row>
    <row r="472" spans="16:16" x14ac:dyDescent="0.3">
      <c r="P472"/>
    </row>
    <row r="473" spans="16:16" x14ac:dyDescent="0.3">
      <c r="P473"/>
    </row>
    <row r="474" spans="16:16" x14ac:dyDescent="0.3">
      <c r="P474"/>
    </row>
    <row r="475" spans="16:16" x14ac:dyDescent="0.3">
      <c r="P475"/>
    </row>
    <row r="476" spans="16:16" x14ac:dyDescent="0.3">
      <c r="P476"/>
    </row>
    <row r="477" spans="16:16" x14ac:dyDescent="0.3">
      <c r="P477"/>
    </row>
    <row r="478" spans="16:16" x14ac:dyDescent="0.3">
      <c r="P478"/>
    </row>
    <row r="479" spans="16:16" x14ac:dyDescent="0.3">
      <c r="P479"/>
    </row>
    <row r="480" spans="16:16" x14ac:dyDescent="0.3">
      <c r="P480"/>
    </row>
    <row r="481" spans="16:16" x14ac:dyDescent="0.3">
      <c r="P481"/>
    </row>
    <row r="482" spans="16:16" x14ac:dyDescent="0.3">
      <c r="P482"/>
    </row>
    <row r="483" spans="16:16" x14ac:dyDescent="0.3">
      <c r="P483"/>
    </row>
    <row r="484" spans="16:16" x14ac:dyDescent="0.3">
      <c r="P484"/>
    </row>
    <row r="485" spans="16:16" x14ac:dyDescent="0.3">
      <c r="P485"/>
    </row>
    <row r="486" spans="16:16" x14ac:dyDescent="0.3">
      <c r="P486"/>
    </row>
    <row r="487" spans="16:16" x14ac:dyDescent="0.3">
      <c r="P487"/>
    </row>
    <row r="488" spans="16:16" x14ac:dyDescent="0.3">
      <c r="P488"/>
    </row>
    <row r="489" spans="16:16" x14ac:dyDescent="0.3">
      <c r="P489"/>
    </row>
    <row r="490" spans="16:16" x14ac:dyDescent="0.3">
      <c r="P490"/>
    </row>
    <row r="491" spans="16:16" x14ac:dyDescent="0.3">
      <c r="P491"/>
    </row>
    <row r="492" spans="16:16" x14ac:dyDescent="0.3">
      <c r="P492"/>
    </row>
    <row r="493" spans="16:16" x14ac:dyDescent="0.3">
      <c r="P493"/>
    </row>
    <row r="494" spans="16:16" x14ac:dyDescent="0.3">
      <c r="P494"/>
    </row>
    <row r="495" spans="16:16" x14ac:dyDescent="0.3">
      <c r="P495"/>
    </row>
    <row r="496" spans="16:16" x14ac:dyDescent="0.3">
      <c r="P496"/>
    </row>
    <row r="497" spans="16:16" x14ac:dyDescent="0.3">
      <c r="P497"/>
    </row>
    <row r="498" spans="16:16" x14ac:dyDescent="0.3">
      <c r="P498"/>
    </row>
    <row r="499" spans="16:16" x14ac:dyDescent="0.3">
      <c r="P499"/>
    </row>
    <row r="500" spans="16:16" x14ac:dyDescent="0.3">
      <c r="P500"/>
    </row>
    <row r="501" spans="16:16" x14ac:dyDescent="0.3">
      <c r="P501"/>
    </row>
    <row r="502" spans="16:16" x14ac:dyDescent="0.3">
      <c r="P502"/>
    </row>
    <row r="503" spans="16:16" x14ac:dyDescent="0.3">
      <c r="P503"/>
    </row>
    <row r="504" spans="16:16" x14ac:dyDescent="0.3">
      <c r="P504"/>
    </row>
    <row r="505" spans="16:16" x14ac:dyDescent="0.3">
      <c r="P505"/>
    </row>
    <row r="506" spans="16:16" x14ac:dyDescent="0.3">
      <c r="P506"/>
    </row>
    <row r="507" spans="16:16" x14ac:dyDescent="0.3">
      <c r="P507"/>
    </row>
    <row r="508" spans="16:16" x14ac:dyDescent="0.3">
      <c r="P508"/>
    </row>
    <row r="509" spans="16:16" x14ac:dyDescent="0.3">
      <c r="P509"/>
    </row>
    <row r="510" spans="16:16" x14ac:dyDescent="0.3">
      <c r="P510"/>
    </row>
    <row r="511" spans="16:16" x14ac:dyDescent="0.3">
      <c r="P511"/>
    </row>
    <row r="512" spans="16:16" x14ac:dyDescent="0.3">
      <c r="P512"/>
    </row>
    <row r="513" spans="16:16" x14ac:dyDescent="0.3">
      <c r="P513"/>
    </row>
    <row r="514" spans="16:16" x14ac:dyDescent="0.3">
      <c r="P5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CD63B-56DA-4B8D-B367-AEEFF7281DB6}">
  <dimension ref="A1:M501"/>
  <sheetViews>
    <sheetView topLeftCell="A302" zoomScale="78" zoomScaleNormal="78" workbookViewId="0">
      <selection activeCell="B32" sqref="B31:B32"/>
    </sheetView>
  </sheetViews>
  <sheetFormatPr defaultColWidth="19.88671875"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t="s">
        <v>18</v>
      </c>
      <c r="G2" t="s">
        <v>19</v>
      </c>
      <c r="H2" t="s">
        <v>20</v>
      </c>
      <c r="I2">
        <v>3028</v>
      </c>
      <c r="J2">
        <v>4</v>
      </c>
      <c r="K2">
        <v>4.3</v>
      </c>
      <c r="L2">
        <v>1</v>
      </c>
      <c r="M2" t="s">
        <v>21</v>
      </c>
    </row>
    <row r="3" spans="1:13" x14ac:dyDescent="0.3">
      <c r="A3" t="s">
        <v>22</v>
      </c>
      <c r="B3" t="s">
        <v>23</v>
      </c>
      <c r="C3" t="s">
        <v>24</v>
      </c>
      <c r="D3" t="s">
        <v>25</v>
      </c>
      <c r="E3" t="s">
        <v>26</v>
      </c>
      <c r="F3" t="s">
        <v>27</v>
      </c>
      <c r="G3" t="s">
        <v>28</v>
      </c>
      <c r="H3" t="s">
        <v>29</v>
      </c>
      <c r="I3">
        <v>32636</v>
      </c>
      <c r="J3">
        <v>4</v>
      </c>
      <c r="K3">
        <v>4.3</v>
      </c>
      <c r="L3">
        <v>1</v>
      </c>
      <c r="M3" t="s">
        <v>30</v>
      </c>
    </row>
    <row r="4" spans="1:13" x14ac:dyDescent="0.3">
      <c r="A4" t="s">
        <v>31</v>
      </c>
      <c r="B4" t="s">
        <v>32</v>
      </c>
      <c r="C4" t="s">
        <v>33</v>
      </c>
      <c r="D4" t="s">
        <v>34</v>
      </c>
      <c r="E4" t="s">
        <v>35</v>
      </c>
      <c r="F4" t="s">
        <v>27</v>
      </c>
      <c r="G4" t="s">
        <v>28</v>
      </c>
      <c r="H4" t="s">
        <v>36</v>
      </c>
      <c r="I4">
        <v>313782</v>
      </c>
      <c r="J4">
        <v>6</v>
      </c>
      <c r="K4">
        <v>4.7</v>
      </c>
      <c r="L4">
        <v>5</v>
      </c>
      <c r="M4" t="s">
        <v>37</v>
      </c>
    </row>
    <row r="5" spans="1:13" x14ac:dyDescent="0.3">
      <c r="A5" t="s">
        <v>38</v>
      </c>
      <c r="B5" t="s">
        <v>39</v>
      </c>
      <c r="C5" t="s">
        <v>40</v>
      </c>
      <c r="D5" t="s">
        <v>41</v>
      </c>
      <c r="E5" t="s">
        <v>42</v>
      </c>
      <c r="F5" t="s">
        <v>18</v>
      </c>
      <c r="G5" t="s">
        <v>19</v>
      </c>
      <c r="H5" t="s">
        <v>36</v>
      </c>
      <c r="I5">
        <v>11375</v>
      </c>
      <c r="J5">
        <v>5</v>
      </c>
      <c r="K5">
        <v>3.3</v>
      </c>
      <c r="L5">
        <v>4</v>
      </c>
      <c r="M5" t="s">
        <v>30</v>
      </c>
    </row>
    <row r="6" spans="1:13" x14ac:dyDescent="0.3">
      <c r="A6" t="s">
        <v>43</v>
      </c>
      <c r="B6" t="s">
        <v>44</v>
      </c>
      <c r="C6" t="s">
        <v>45</v>
      </c>
      <c r="D6" t="s">
        <v>46</v>
      </c>
      <c r="E6" t="s">
        <v>42</v>
      </c>
      <c r="F6" t="s">
        <v>27</v>
      </c>
      <c r="G6" t="s">
        <v>19</v>
      </c>
      <c r="H6" t="s">
        <v>20</v>
      </c>
      <c r="I6">
        <v>14496</v>
      </c>
      <c r="J6">
        <v>6</v>
      </c>
      <c r="K6">
        <v>3.7</v>
      </c>
      <c r="L6">
        <v>2</v>
      </c>
      <c r="M6" t="s">
        <v>47</v>
      </c>
    </row>
    <row r="7" spans="1:13" x14ac:dyDescent="0.3">
      <c r="A7" t="s">
        <v>48</v>
      </c>
      <c r="B7" t="s">
        <v>49</v>
      </c>
      <c r="C7" t="s">
        <v>50</v>
      </c>
      <c r="D7" t="s">
        <v>51</v>
      </c>
      <c r="E7" t="s">
        <v>52</v>
      </c>
      <c r="F7" t="s">
        <v>53</v>
      </c>
      <c r="G7" t="s">
        <v>54</v>
      </c>
      <c r="H7" t="s">
        <v>20</v>
      </c>
      <c r="I7">
        <v>5745</v>
      </c>
      <c r="J7">
        <v>5</v>
      </c>
      <c r="K7">
        <v>4.7</v>
      </c>
      <c r="L7">
        <v>6</v>
      </c>
      <c r="M7" t="s">
        <v>55</v>
      </c>
    </row>
    <row r="8" spans="1:13" x14ac:dyDescent="0.3">
      <c r="A8" t="s">
        <v>56</v>
      </c>
      <c r="B8" t="s">
        <v>57</v>
      </c>
      <c r="C8" t="s">
        <v>58</v>
      </c>
      <c r="D8" t="s">
        <v>59</v>
      </c>
      <c r="E8" t="s">
        <v>26</v>
      </c>
      <c r="F8" t="s">
        <v>60</v>
      </c>
      <c r="G8" t="s">
        <v>28</v>
      </c>
      <c r="H8" t="s">
        <v>29</v>
      </c>
      <c r="I8">
        <v>24696</v>
      </c>
      <c r="J8">
        <v>8</v>
      </c>
      <c r="K8">
        <v>3.6</v>
      </c>
      <c r="L8">
        <v>5</v>
      </c>
      <c r="M8" t="s">
        <v>37</v>
      </c>
    </row>
    <row r="9" spans="1:13" x14ac:dyDescent="0.3">
      <c r="A9" t="s">
        <v>61</v>
      </c>
      <c r="B9" t="s">
        <v>62</v>
      </c>
      <c r="C9" t="s">
        <v>45</v>
      </c>
      <c r="D9" t="s">
        <v>63</v>
      </c>
      <c r="E9" t="s">
        <v>52</v>
      </c>
      <c r="F9" t="s">
        <v>18</v>
      </c>
      <c r="G9" t="s">
        <v>28</v>
      </c>
      <c r="H9" t="s">
        <v>64</v>
      </c>
      <c r="I9">
        <v>3536</v>
      </c>
      <c r="J9">
        <v>8</v>
      </c>
      <c r="K9">
        <v>3.5</v>
      </c>
      <c r="L9">
        <v>7</v>
      </c>
      <c r="M9" t="s">
        <v>65</v>
      </c>
    </row>
    <row r="10" spans="1:13" x14ac:dyDescent="0.3">
      <c r="A10" t="s">
        <v>66</v>
      </c>
      <c r="B10" t="s">
        <v>67</v>
      </c>
      <c r="C10" t="s">
        <v>68</v>
      </c>
      <c r="D10" t="s">
        <v>69</v>
      </c>
      <c r="E10" t="s">
        <v>26</v>
      </c>
      <c r="F10" t="s">
        <v>53</v>
      </c>
      <c r="G10" t="s">
        <v>28</v>
      </c>
      <c r="H10" t="s">
        <v>20</v>
      </c>
      <c r="I10">
        <v>25855</v>
      </c>
      <c r="J10">
        <v>5</v>
      </c>
      <c r="K10">
        <v>4.5999999999999996</v>
      </c>
      <c r="L10">
        <v>6</v>
      </c>
      <c r="M10" t="s">
        <v>65</v>
      </c>
    </row>
    <row r="11" spans="1:13" x14ac:dyDescent="0.3">
      <c r="A11" t="s">
        <v>70</v>
      </c>
      <c r="B11" t="s">
        <v>71</v>
      </c>
      <c r="C11" t="s">
        <v>72</v>
      </c>
      <c r="D11" t="s">
        <v>41</v>
      </c>
      <c r="E11" t="s">
        <v>42</v>
      </c>
      <c r="F11" t="s">
        <v>53</v>
      </c>
      <c r="G11" t="s">
        <v>19</v>
      </c>
      <c r="H11" t="s">
        <v>36</v>
      </c>
      <c r="I11">
        <v>9432</v>
      </c>
      <c r="J11">
        <v>3</v>
      </c>
      <c r="K11">
        <v>4.0999999999999996</v>
      </c>
      <c r="L11">
        <v>4</v>
      </c>
      <c r="M11" t="s">
        <v>21</v>
      </c>
    </row>
    <row r="12" spans="1:13" x14ac:dyDescent="0.3">
      <c r="A12" t="s">
        <v>73</v>
      </c>
      <c r="B12" t="s">
        <v>74</v>
      </c>
      <c r="C12" t="s">
        <v>75</v>
      </c>
      <c r="D12" t="s">
        <v>59</v>
      </c>
      <c r="E12" t="s">
        <v>26</v>
      </c>
      <c r="F12" t="s">
        <v>27</v>
      </c>
      <c r="G12" t="s">
        <v>28</v>
      </c>
      <c r="H12" t="s">
        <v>36</v>
      </c>
      <c r="I12">
        <v>1749</v>
      </c>
      <c r="J12">
        <v>1</v>
      </c>
      <c r="K12">
        <v>3.6</v>
      </c>
      <c r="L12">
        <v>2</v>
      </c>
      <c r="M12" t="s">
        <v>65</v>
      </c>
    </row>
    <row r="13" spans="1:13" x14ac:dyDescent="0.3">
      <c r="A13" t="s">
        <v>76</v>
      </c>
      <c r="B13" t="s">
        <v>77</v>
      </c>
      <c r="C13" t="s">
        <v>78</v>
      </c>
      <c r="D13" t="s">
        <v>79</v>
      </c>
      <c r="E13" t="s">
        <v>26</v>
      </c>
      <c r="F13" t="s">
        <v>27</v>
      </c>
      <c r="G13" t="s">
        <v>19</v>
      </c>
      <c r="H13" t="s">
        <v>29</v>
      </c>
      <c r="I13">
        <v>85904</v>
      </c>
      <c r="J13">
        <v>8</v>
      </c>
      <c r="K13">
        <v>4</v>
      </c>
      <c r="L13">
        <v>4</v>
      </c>
      <c r="M13" t="s">
        <v>80</v>
      </c>
    </row>
    <row r="14" spans="1:13" x14ac:dyDescent="0.3">
      <c r="A14" t="s">
        <v>81</v>
      </c>
      <c r="B14" t="s">
        <v>82</v>
      </c>
      <c r="C14" t="s">
        <v>58</v>
      </c>
      <c r="D14" t="s">
        <v>46</v>
      </c>
      <c r="E14" t="s">
        <v>42</v>
      </c>
      <c r="F14" t="s">
        <v>83</v>
      </c>
      <c r="G14" t="s">
        <v>54</v>
      </c>
      <c r="H14" t="s">
        <v>36</v>
      </c>
      <c r="I14">
        <v>9792</v>
      </c>
      <c r="J14">
        <v>8</v>
      </c>
      <c r="K14">
        <v>3.2</v>
      </c>
      <c r="L14">
        <v>4</v>
      </c>
      <c r="M14" t="s">
        <v>47</v>
      </c>
    </row>
    <row r="15" spans="1:13" x14ac:dyDescent="0.3">
      <c r="A15" t="s">
        <v>84</v>
      </c>
      <c r="B15" t="s">
        <v>85</v>
      </c>
      <c r="C15" t="s">
        <v>78</v>
      </c>
      <c r="D15" t="s">
        <v>86</v>
      </c>
      <c r="E15" t="s">
        <v>17</v>
      </c>
      <c r="F15" t="s">
        <v>83</v>
      </c>
      <c r="G15" t="s">
        <v>28</v>
      </c>
      <c r="H15" t="s">
        <v>20</v>
      </c>
      <c r="I15">
        <v>976</v>
      </c>
      <c r="J15">
        <v>1</v>
      </c>
      <c r="K15">
        <v>4.4000000000000004</v>
      </c>
      <c r="L15">
        <v>4</v>
      </c>
      <c r="M15" t="s">
        <v>87</v>
      </c>
    </row>
    <row r="16" spans="1:13" x14ac:dyDescent="0.3">
      <c r="A16" t="s">
        <v>88</v>
      </c>
      <c r="B16" t="s">
        <v>89</v>
      </c>
      <c r="C16" t="s">
        <v>68</v>
      </c>
      <c r="D16" t="s">
        <v>90</v>
      </c>
      <c r="E16" t="s">
        <v>42</v>
      </c>
      <c r="F16" t="s">
        <v>18</v>
      </c>
      <c r="G16" t="s">
        <v>28</v>
      </c>
      <c r="H16" t="s">
        <v>29</v>
      </c>
      <c r="I16">
        <v>8338</v>
      </c>
      <c r="J16">
        <v>2</v>
      </c>
      <c r="K16">
        <v>4</v>
      </c>
      <c r="L16">
        <v>1</v>
      </c>
      <c r="M16" t="s">
        <v>37</v>
      </c>
    </row>
    <row r="17" spans="1:13" x14ac:dyDescent="0.3">
      <c r="A17" t="s">
        <v>91</v>
      </c>
      <c r="B17" t="s">
        <v>92</v>
      </c>
      <c r="C17" t="s">
        <v>75</v>
      </c>
      <c r="D17" t="s">
        <v>86</v>
      </c>
      <c r="E17" t="s">
        <v>17</v>
      </c>
      <c r="F17" t="s">
        <v>60</v>
      </c>
      <c r="G17" t="s">
        <v>54</v>
      </c>
      <c r="H17" t="s">
        <v>36</v>
      </c>
      <c r="I17">
        <v>5592</v>
      </c>
      <c r="J17">
        <v>4</v>
      </c>
      <c r="K17">
        <v>3.7</v>
      </c>
      <c r="L17">
        <v>4</v>
      </c>
      <c r="M17" t="s">
        <v>37</v>
      </c>
    </row>
    <row r="18" spans="1:13" x14ac:dyDescent="0.3">
      <c r="A18" t="s">
        <v>93</v>
      </c>
      <c r="B18" t="s">
        <v>94</v>
      </c>
      <c r="C18" t="s">
        <v>24</v>
      </c>
      <c r="D18" t="s">
        <v>25</v>
      </c>
      <c r="E18" t="s">
        <v>26</v>
      </c>
      <c r="F18" t="s">
        <v>60</v>
      </c>
      <c r="G18" t="s">
        <v>54</v>
      </c>
      <c r="H18" t="s">
        <v>64</v>
      </c>
      <c r="I18">
        <v>17208</v>
      </c>
      <c r="J18">
        <v>4</v>
      </c>
      <c r="K18">
        <v>4.8</v>
      </c>
      <c r="L18">
        <v>1</v>
      </c>
      <c r="M18" t="s">
        <v>87</v>
      </c>
    </row>
    <row r="19" spans="1:13" x14ac:dyDescent="0.3">
      <c r="A19" t="s">
        <v>95</v>
      </c>
      <c r="B19" t="s">
        <v>96</v>
      </c>
      <c r="C19" t="s">
        <v>58</v>
      </c>
      <c r="D19" t="s">
        <v>97</v>
      </c>
      <c r="E19" t="s">
        <v>35</v>
      </c>
      <c r="F19" t="s">
        <v>27</v>
      </c>
      <c r="G19" t="s">
        <v>54</v>
      </c>
      <c r="H19" t="s">
        <v>29</v>
      </c>
      <c r="I19">
        <v>159523</v>
      </c>
      <c r="J19">
        <v>7</v>
      </c>
      <c r="K19">
        <v>3.6</v>
      </c>
      <c r="L19">
        <v>1</v>
      </c>
      <c r="M19" t="s">
        <v>21</v>
      </c>
    </row>
    <row r="20" spans="1:13" x14ac:dyDescent="0.3">
      <c r="A20" t="s">
        <v>98</v>
      </c>
      <c r="B20" t="s">
        <v>99</v>
      </c>
      <c r="C20" t="s">
        <v>75</v>
      </c>
      <c r="D20" t="s">
        <v>16</v>
      </c>
      <c r="E20" t="s">
        <v>17</v>
      </c>
      <c r="F20" t="s">
        <v>100</v>
      </c>
      <c r="G20" t="s">
        <v>54</v>
      </c>
      <c r="H20" t="s">
        <v>20</v>
      </c>
      <c r="I20">
        <v>10632</v>
      </c>
      <c r="J20">
        <v>8</v>
      </c>
      <c r="K20">
        <v>3.3</v>
      </c>
      <c r="L20">
        <v>3</v>
      </c>
      <c r="M20" t="s">
        <v>30</v>
      </c>
    </row>
    <row r="21" spans="1:13" x14ac:dyDescent="0.3">
      <c r="A21" t="s">
        <v>101</v>
      </c>
      <c r="B21" t="s">
        <v>102</v>
      </c>
      <c r="C21" t="s">
        <v>103</v>
      </c>
      <c r="D21" t="s">
        <v>41</v>
      </c>
      <c r="E21" t="s">
        <v>42</v>
      </c>
      <c r="F21" t="s">
        <v>100</v>
      </c>
      <c r="G21" t="s">
        <v>104</v>
      </c>
      <c r="H21" t="s">
        <v>20</v>
      </c>
      <c r="I21">
        <v>5484</v>
      </c>
      <c r="J21">
        <v>4</v>
      </c>
      <c r="K21">
        <v>4.4000000000000004</v>
      </c>
      <c r="L21">
        <v>6</v>
      </c>
      <c r="M21" t="s">
        <v>30</v>
      </c>
    </row>
    <row r="22" spans="1:13" x14ac:dyDescent="0.3">
      <c r="A22" t="s">
        <v>105</v>
      </c>
      <c r="B22" t="s">
        <v>106</v>
      </c>
      <c r="C22" t="s">
        <v>75</v>
      </c>
      <c r="D22" t="s">
        <v>97</v>
      </c>
      <c r="E22" t="s">
        <v>35</v>
      </c>
      <c r="F22" t="s">
        <v>100</v>
      </c>
      <c r="G22" t="s">
        <v>19</v>
      </c>
      <c r="H22" t="s">
        <v>29</v>
      </c>
      <c r="I22">
        <v>60040</v>
      </c>
      <c r="J22">
        <v>5</v>
      </c>
      <c r="K22">
        <v>4.3</v>
      </c>
      <c r="L22">
        <v>2</v>
      </c>
      <c r="M22" t="s">
        <v>80</v>
      </c>
    </row>
    <row r="23" spans="1:13" x14ac:dyDescent="0.3">
      <c r="A23" t="s">
        <v>107</v>
      </c>
      <c r="B23" t="s">
        <v>108</v>
      </c>
      <c r="C23" t="s">
        <v>78</v>
      </c>
      <c r="D23" t="s">
        <v>109</v>
      </c>
      <c r="E23" t="s">
        <v>52</v>
      </c>
      <c r="F23" t="s">
        <v>53</v>
      </c>
      <c r="G23" t="s">
        <v>54</v>
      </c>
      <c r="H23" t="s">
        <v>20</v>
      </c>
      <c r="I23">
        <v>5668</v>
      </c>
      <c r="J23">
        <v>4</v>
      </c>
      <c r="K23">
        <v>4.5</v>
      </c>
      <c r="L23">
        <v>1</v>
      </c>
      <c r="M23" t="s">
        <v>87</v>
      </c>
    </row>
    <row r="24" spans="1:13" x14ac:dyDescent="0.3">
      <c r="A24" t="s">
        <v>110</v>
      </c>
      <c r="B24" t="s">
        <v>111</v>
      </c>
      <c r="C24" t="s">
        <v>112</v>
      </c>
      <c r="D24" t="s">
        <v>113</v>
      </c>
      <c r="E24" t="s">
        <v>35</v>
      </c>
      <c r="F24" t="s">
        <v>60</v>
      </c>
      <c r="G24" t="s">
        <v>104</v>
      </c>
      <c r="H24" t="s">
        <v>36</v>
      </c>
      <c r="I24">
        <v>245328</v>
      </c>
      <c r="J24">
        <v>3</v>
      </c>
      <c r="K24">
        <v>3.6</v>
      </c>
      <c r="L24">
        <v>5</v>
      </c>
      <c r="M24" t="s">
        <v>87</v>
      </c>
    </row>
    <row r="25" spans="1:13" x14ac:dyDescent="0.3">
      <c r="A25" t="s">
        <v>114</v>
      </c>
      <c r="B25" t="s">
        <v>115</v>
      </c>
      <c r="C25" t="s">
        <v>78</v>
      </c>
      <c r="D25" t="s">
        <v>116</v>
      </c>
      <c r="E25" t="s">
        <v>17</v>
      </c>
      <c r="F25" t="s">
        <v>27</v>
      </c>
      <c r="G25" t="s">
        <v>28</v>
      </c>
      <c r="H25" t="s">
        <v>36</v>
      </c>
      <c r="I25">
        <v>307</v>
      </c>
      <c r="J25">
        <v>1</v>
      </c>
      <c r="K25">
        <v>3.5</v>
      </c>
      <c r="L25">
        <v>8</v>
      </c>
      <c r="M25" t="s">
        <v>21</v>
      </c>
    </row>
    <row r="26" spans="1:13" x14ac:dyDescent="0.3">
      <c r="A26" t="s">
        <v>117</v>
      </c>
      <c r="B26" t="s">
        <v>118</v>
      </c>
      <c r="C26" t="s">
        <v>33</v>
      </c>
      <c r="D26" t="s">
        <v>16</v>
      </c>
      <c r="E26" t="s">
        <v>17</v>
      </c>
      <c r="F26" t="s">
        <v>53</v>
      </c>
      <c r="G26" t="s">
        <v>104</v>
      </c>
      <c r="H26" t="s">
        <v>36</v>
      </c>
      <c r="I26">
        <v>4251</v>
      </c>
      <c r="J26">
        <v>3</v>
      </c>
      <c r="K26">
        <v>3.5</v>
      </c>
      <c r="L26">
        <v>3</v>
      </c>
      <c r="M26" t="s">
        <v>119</v>
      </c>
    </row>
    <row r="27" spans="1:13" x14ac:dyDescent="0.3">
      <c r="A27" t="s">
        <v>120</v>
      </c>
      <c r="B27" t="s">
        <v>121</v>
      </c>
      <c r="C27" t="s">
        <v>122</v>
      </c>
      <c r="D27" t="s">
        <v>34</v>
      </c>
      <c r="E27" t="s">
        <v>35</v>
      </c>
      <c r="F27" t="s">
        <v>83</v>
      </c>
      <c r="G27" t="s">
        <v>19</v>
      </c>
      <c r="H27" t="s">
        <v>64</v>
      </c>
      <c r="I27">
        <v>195428</v>
      </c>
      <c r="J27">
        <v>4</v>
      </c>
      <c r="K27">
        <v>5</v>
      </c>
      <c r="L27">
        <v>3</v>
      </c>
      <c r="M27" t="s">
        <v>119</v>
      </c>
    </row>
    <row r="28" spans="1:13" x14ac:dyDescent="0.3">
      <c r="A28" t="s">
        <v>123</v>
      </c>
      <c r="B28" t="s">
        <v>124</v>
      </c>
      <c r="C28" t="s">
        <v>125</v>
      </c>
      <c r="D28" t="s">
        <v>86</v>
      </c>
      <c r="E28" t="s">
        <v>17</v>
      </c>
      <c r="F28" t="s">
        <v>83</v>
      </c>
      <c r="G28" t="s">
        <v>19</v>
      </c>
      <c r="H28" t="s">
        <v>64</v>
      </c>
      <c r="I28">
        <v>11697</v>
      </c>
      <c r="J28">
        <v>7</v>
      </c>
      <c r="K28">
        <v>3.9</v>
      </c>
      <c r="L28">
        <v>1</v>
      </c>
      <c r="M28" t="s">
        <v>126</v>
      </c>
    </row>
    <row r="29" spans="1:13" x14ac:dyDescent="0.3">
      <c r="A29" t="s">
        <v>127</v>
      </c>
      <c r="B29" t="s">
        <v>128</v>
      </c>
      <c r="C29" t="s">
        <v>129</v>
      </c>
      <c r="D29" t="s">
        <v>130</v>
      </c>
      <c r="E29" t="s">
        <v>35</v>
      </c>
      <c r="F29" t="s">
        <v>27</v>
      </c>
      <c r="G29" t="s">
        <v>28</v>
      </c>
      <c r="H29" t="s">
        <v>29</v>
      </c>
      <c r="I29">
        <v>218908</v>
      </c>
      <c r="J29">
        <v>4</v>
      </c>
      <c r="K29">
        <v>4.8</v>
      </c>
      <c r="L29">
        <v>5</v>
      </c>
      <c r="M29" t="s">
        <v>37</v>
      </c>
    </row>
    <row r="30" spans="1:13" x14ac:dyDescent="0.3">
      <c r="A30" t="s">
        <v>131</v>
      </c>
      <c r="B30" t="s">
        <v>132</v>
      </c>
      <c r="C30" t="s">
        <v>133</v>
      </c>
      <c r="D30" t="s">
        <v>16</v>
      </c>
      <c r="E30" t="s">
        <v>17</v>
      </c>
      <c r="F30" t="s">
        <v>100</v>
      </c>
      <c r="G30" t="s">
        <v>54</v>
      </c>
      <c r="H30" t="s">
        <v>64</v>
      </c>
      <c r="I30">
        <v>4467</v>
      </c>
      <c r="J30">
        <v>3</v>
      </c>
      <c r="K30">
        <v>4</v>
      </c>
      <c r="L30">
        <v>6</v>
      </c>
      <c r="M30" t="s">
        <v>21</v>
      </c>
    </row>
    <row r="31" spans="1:13" x14ac:dyDescent="0.3">
      <c r="A31" t="s">
        <v>134</v>
      </c>
      <c r="B31" t="s">
        <v>135</v>
      </c>
      <c r="C31" t="s">
        <v>129</v>
      </c>
      <c r="D31" t="s">
        <v>79</v>
      </c>
      <c r="E31" t="s">
        <v>26</v>
      </c>
      <c r="F31" t="s">
        <v>60</v>
      </c>
      <c r="G31" t="s">
        <v>54</v>
      </c>
      <c r="H31" t="s">
        <v>29</v>
      </c>
      <c r="I31">
        <v>9621</v>
      </c>
      <c r="J31">
        <v>1</v>
      </c>
      <c r="K31">
        <v>4.4000000000000004</v>
      </c>
      <c r="L31">
        <v>4</v>
      </c>
      <c r="M31" t="s">
        <v>21</v>
      </c>
    </row>
    <row r="32" spans="1:13" x14ac:dyDescent="0.3">
      <c r="A32" t="s">
        <v>136</v>
      </c>
      <c r="B32" t="s">
        <v>137</v>
      </c>
      <c r="C32" t="s">
        <v>40</v>
      </c>
      <c r="D32" t="s">
        <v>59</v>
      </c>
      <c r="E32" t="s">
        <v>26</v>
      </c>
      <c r="F32" t="s">
        <v>100</v>
      </c>
      <c r="G32" t="s">
        <v>19</v>
      </c>
      <c r="H32" t="s">
        <v>20</v>
      </c>
      <c r="I32">
        <v>23452</v>
      </c>
      <c r="J32">
        <v>2</v>
      </c>
      <c r="K32">
        <v>3.9</v>
      </c>
      <c r="L32">
        <v>7</v>
      </c>
      <c r="M32" t="s">
        <v>119</v>
      </c>
    </row>
    <row r="33" spans="1:13" x14ac:dyDescent="0.3">
      <c r="A33" t="s">
        <v>138</v>
      </c>
      <c r="B33" t="s">
        <v>139</v>
      </c>
      <c r="C33" t="s">
        <v>133</v>
      </c>
      <c r="D33" t="s">
        <v>90</v>
      </c>
      <c r="E33" t="s">
        <v>42</v>
      </c>
      <c r="F33" t="s">
        <v>100</v>
      </c>
      <c r="G33" t="s">
        <v>104</v>
      </c>
      <c r="H33" t="s">
        <v>64</v>
      </c>
      <c r="I33">
        <v>15564</v>
      </c>
      <c r="J33">
        <v>3</v>
      </c>
      <c r="K33">
        <v>3.7</v>
      </c>
      <c r="L33">
        <v>4</v>
      </c>
      <c r="M33" t="s">
        <v>119</v>
      </c>
    </row>
    <row r="34" spans="1:13" x14ac:dyDescent="0.3">
      <c r="A34" t="s">
        <v>140</v>
      </c>
      <c r="B34" t="s">
        <v>141</v>
      </c>
      <c r="C34" t="s">
        <v>75</v>
      </c>
      <c r="D34" t="s">
        <v>90</v>
      </c>
      <c r="E34" t="s">
        <v>42</v>
      </c>
      <c r="F34" t="s">
        <v>83</v>
      </c>
      <c r="G34" t="s">
        <v>104</v>
      </c>
      <c r="H34" t="s">
        <v>20</v>
      </c>
      <c r="I34">
        <v>5576</v>
      </c>
      <c r="J34">
        <v>4</v>
      </c>
      <c r="K34">
        <v>4.0999999999999996</v>
      </c>
      <c r="L34">
        <v>6</v>
      </c>
      <c r="M34" t="s">
        <v>119</v>
      </c>
    </row>
    <row r="35" spans="1:13" x14ac:dyDescent="0.3">
      <c r="A35" t="s">
        <v>142</v>
      </c>
      <c r="B35" t="s">
        <v>143</v>
      </c>
      <c r="C35" t="s">
        <v>50</v>
      </c>
      <c r="D35" t="s">
        <v>63</v>
      </c>
      <c r="E35" t="s">
        <v>52</v>
      </c>
      <c r="F35" t="s">
        <v>60</v>
      </c>
      <c r="G35" t="s">
        <v>28</v>
      </c>
      <c r="H35" t="s">
        <v>20</v>
      </c>
      <c r="I35">
        <v>2196</v>
      </c>
      <c r="J35">
        <v>1</v>
      </c>
      <c r="K35">
        <v>3.9</v>
      </c>
      <c r="L35">
        <v>4</v>
      </c>
      <c r="M35" t="s">
        <v>144</v>
      </c>
    </row>
    <row r="36" spans="1:13" x14ac:dyDescent="0.3">
      <c r="A36" t="s">
        <v>145</v>
      </c>
      <c r="B36" t="s">
        <v>111</v>
      </c>
      <c r="C36" t="s">
        <v>146</v>
      </c>
      <c r="D36" t="s">
        <v>147</v>
      </c>
      <c r="E36" t="s">
        <v>52</v>
      </c>
      <c r="F36" t="s">
        <v>83</v>
      </c>
      <c r="G36" t="s">
        <v>28</v>
      </c>
      <c r="H36" t="s">
        <v>29</v>
      </c>
      <c r="I36">
        <v>6790</v>
      </c>
      <c r="J36">
        <v>7</v>
      </c>
      <c r="K36">
        <v>4.2</v>
      </c>
      <c r="L36">
        <v>2</v>
      </c>
      <c r="M36" t="s">
        <v>87</v>
      </c>
    </row>
    <row r="37" spans="1:13" x14ac:dyDescent="0.3">
      <c r="A37" t="s">
        <v>148</v>
      </c>
      <c r="B37" t="s">
        <v>149</v>
      </c>
      <c r="C37" t="s">
        <v>112</v>
      </c>
      <c r="D37" t="s">
        <v>90</v>
      </c>
      <c r="E37" t="s">
        <v>42</v>
      </c>
      <c r="F37" t="s">
        <v>60</v>
      </c>
      <c r="G37" t="s">
        <v>19</v>
      </c>
      <c r="H37" t="s">
        <v>29</v>
      </c>
      <c r="I37">
        <v>22584</v>
      </c>
      <c r="J37">
        <v>8</v>
      </c>
      <c r="K37">
        <v>4.7</v>
      </c>
      <c r="L37">
        <v>5</v>
      </c>
      <c r="M37" t="s">
        <v>30</v>
      </c>
    </row>
    <row r="38" spans="1:13" x14ac:dyDescent="0.3">
      <c r="A38" t="s">
        <v>150</v>
      </c>
      <c r="B38" t="s">
        <v>96</v>
      </c>
      <c r="C38" t="s">
        <v>50</v>
      </c>
      <c r="D38" t="s">
        <v>41</v>
      </c>
      <c r="E38" t="s">
        <v>42</v>
      </c>
      <c r="F38" t="s">
        <v>27</v>
      </c>
      <c r="G38" t="s">
        <v>19</v>
      </c>
      <c r="H38" t="s">
        <v>20</v>
      </c>
      <c r="I38">
        <v>20496</v>
      </c>
      <c r="J38">
        <v>4</v>
      </c>
      <c r="K38">
        <v>3.4</v>
      </c>
      <c r="L38">
        <v>4</v>
      </c>
      <c r="M38" t="s">
        <v>21</v>
      </c>
    </row>
    <row r="39" spans="1:13" x14ac:dyDescent="0.3">
      <c r="A39" t="s">
        <v>151</v>
      </c>
      <c r="B39" t="s">
        <v>152</v>
      </c>
      <c r="C39" t="s">
        <v>58</v>
      </c>
      <c r="D39" t="s">
        <v>116</v>
      </c>
      <c r="E39" t="s">
        <v>17</v>
      </c>
      <c r="F39" t="s">
        <v>27</v>
      </c>
      <c r="G39" t="s">
        <v>54</v>
      </c>
      <c r="H39" t="s">
        <v>64</v>
      </c>
      <c r="I39">
        <v>8466</v>
      </c>
      <c r="J39">
        <v>6</v>
      </c>
      <c r="K39">
        <v>4.7</v>
      </c>
      <c r="L39">
        <v>7</v>
      </c>
      <c r="M39" t="s">
        <v>55</v>
      </c>
    </row>
    <row r="40" spans="1:13" x14ac:dyDescent="0.3">
      <c r="A40" t="s">
        <v>153</v>
      </c>
      <c r="B40" t="s">
        <v>154</v>
      </c>
      <c r="C40" t="s">
        <v>122</v>
      </c>
      <c r="D40" t="s">
        <v>41</v>
      </c>
      <c r="E40" t="s">
        <v>42</v>
      </c>
      <c r="F40" t="s">
        <v>53</v>
      </c>
      <c r="G40" t="s">
        <v>28</v>
      </c>
      <c r="H40" t="s">
        <v>64</v>
      </c>
      <c r="I40">
        <v>25865</v>
      </c>
      <c r="J40">
        <v>5</v>
      </c>
      <c r="K40">
        <v>4.8</v>
      </c>
      <c r="L40">
        <v>8</v>
      </c>
      <c r="M40" t="s">
        <v>126</v>
      </c>
    </row>
    <row r="41" spans="1:13" x14ac:dyDescent="0.3">
      <c r="A41" t="s">
        <v>155</v>
      </c>
      <c r="B41" t="s">
        <v>156</v>
      </c>
      <c r="C41" t="s">
        <v>58</v>
      </c>
      <c r="D41" t="s">
        <v>116</v>
      </c>
      <c r="E41" t="s">
        <v>17</v>
      </c>
      <c r="F41" t="s">
        <v>100</v>
      </c>
      <c r="G41" t="s">
        <v>54</v>
      </c>
      <c r="H41" t="s">
        <v>36</v>
      </c>
      <c r="I41">
        <v>12481</v>
      </c>
      <c r="J41">
        <v>7</v>
      </c>
      <c r="K41">
        <v>4.2</v>
      </c>
      <c r="L41">
        <v>7</v>
      </c>
      <c r="M41" t="s">
        <v>126</v>
      </c>
    </row>
    <row r="42" spans="1:13" x14ac:dyDescent="0.3">
      <c r="A42" t="s">
        <v>157</v>
      </c>
      <c r="B42" t="s">
        <v>158</v>
      </c>
      <c r="C42" t="s">
        <v>50</v>
      </c>
      <c r="D42" t="s">
        <v>159</v>
      </c>
      <c r="E42" t="s">
        <v>42</v>
      </c>
      <c r="F42" t="s">
        <v>53</v>
      </c>
      <c r="G42" t="s">
        <v>28</v>
      </c>
      <c r="H42" t="s">
        <v>29</v>
      </c>
      <c r="I42">
        <v>10143</v>
      </c>
      <c r="J42">
        <v>3</v>
      </c>
      <c r="K42">
        <v>4</v>
      </c>
      <c r="L42">
        <v>6</v>
      </c>
      <c r="M42" t="s">
        <v>47</v>
      </c>
    </row>
    <row r="43" spans="1:13" x14ac:dyDescent="0.3">
      <c r="A43" t="s">
        <v>160</v>
      </c>
      <c r="B43" t="s">
        <v>161</v>
      </c>
      <c r="C43" t="s">
        <v>15</v>
      </c>
      <c r="D43" t="s">
        <v>116</v>
      </c>
      <c r="E43" t="s">
        <v>17</v>
      </c>
      <c r="F43" t="s">
        <v>100</v>
      </c>
      <c r="G43" t="s">
        <v>19</v>
      </c>
      <c r="H43" t="s">
        <v>20</v>
      </c>
      <c r="I43">
        <v>1016</v>
      </c>
      <c r="J43">
        <v>1</v>
      </c>
      <c r="K43">
        <v>4.9000000000000004</v>
      </c>
      <c r="L43">
        <v>4</v>
      </c>
      <c r="M43" t="s">
        <v>144</v>
      </c>
    </row>
    <row r="44" spans="1:13" x14ac:dyDescent="0.3">
      <c r="A44" t="s">
        <v>162</v>
      </c>
      <c r="B44" t="s">
        <v>163</v>
      </c>
      <c r="C44" t="s">
        <v>24</v>
      </c>
      <c r="D44" t="s">
        <v>51</v>
      </c>
      <c r="E44" t="s">
        <v>52</v>
      </c>
      <c r="F44" t="s">
        <v>53</v>
      </c>
      <c r="G44" t="s">
        <v>54</v>
      </c>
      <c r="H44" t="s">
        <v>36</v>
      </c>
      <c r="I44">
        <v>2284</v>
      </c>
      <c r="J44">
        <v>2</v>
      </c>
      <c r="K44">
        <v>3.5</v>
      </c>
      <c r="L44">
        <v>2</v>
      </c>
      <c r="M44" t="s">
        <v>119</v>
      </c>
    </row>
    <row r="45" spans="1:13" x14ac:dyDescent="0.3">
      <c r="A45" t="s">
        <v>164</v>
      </c>
      <c r="B45" t="s">
        <v>139</v>
      </c>
      <c r="C45" t="s">
        <v>45</v>
      </c>
      <c r="D45" t="s">
        <v>165</v>
      </c>
      <c r="E45" t="s">
        <v>35</v>
      </c>
      <c r="F45" t="s">
        <v>18</v>
      </c>
      <c r="G45" t="s">
        <v>54</v>
      </c>
      <c r="H45" t="s">
        <v>29</v>
      </c>
      <c r="I45">
        <v>87227</v>
      </c>
      <c r="J45">
        <v>7</v>
      </c>
      <c r="K45">
        <v>3.6</v>
      </c>
      <c r="L45">
        <v>5</v>
      </c>
      <c r="M45" t="s">
        <v>119</v>
      </c>
    </row>
    <row r="46" spans="1:13" x14ac:dyDescent="0.3">
      <c r="A46" t="s">
        <v>166</v>
      </c>
      <c r="B46" t="s">
        <v>167</v>
      </c>
      <c r="C46" t="s">
        <v>133</v>
      </c>
      <c r="D46" t="s">
        <v>69</v>
      </c>
      <c r="E46" t="s">
        <v>26</v>
      </c>
      <c r="F46" t="s">
        <v>53</v>
      </c>
      <c r="G46" t="s">
        <v>28</v>
      </c>
      <c r="H46" t="s">
        <v>20</v>
      </c>
      <c r="I46">
        <v>46092</v>
      </c>
      <c r="J46">
        <v>6</v>
      </c>
      <c r="K46">
        <v>4.7</v>
      </c>
      <c r="L46">
        <v>2</v>
      </c>
      <c r="M46" t="s">
        <v>119</v>
      </c>
    </row>
    <row r="47" spans="1:13" x14ac:dyDescent="0.3">
      <c r="A47" t="s">
        <v>168</v>
      </c>
      <c r="B47" t="s">
        <v>169</v>
      </c>
      <c r="C47" t="s">
        <v>170</v>
      </c>
      <c r="D47" t="s">
        <v>159</v>
      </c>
      <c r="E47" t="s">
        <v>42</v>
      </c>
      <c r="F47" t="s">
        <v>83</v>
      </c>
      <c r="G47" t="s">
        <v>54</v>
      </c>
      <c r="H47" t="s">
        <v>29</v>
      </c>
      <c r="I47">
        <v>22540</v>
      </c>
      <c r="J47">
        <v>5</v>
      </c>
      <c r="K47">
        <v>4.7</v>
      </c>
      <c r="L47">
        <v>5</v>
      </c>
      <c r="M47" t="s">
        <v>65</v>
      </c>
    </row>
    <row r="48" spans="1:13" x14ac:dyDescent="0.3">
      <c r="A48" t="s">
        <v>171</v>
      </c>
      <c r="B48" t="s">
        <v>172</v>
      </c>
      <c r="C48" t="s">
        <v>103</v>
      </c>
      <c r="D48" t="s">
        <v>159</v>
      </c>
      <c r="E48" t="s">
        <v>42</v>
      </c>
      <c r="F48" t="s">
        <v>53</v>
      </c>
      <c r="G48" t="s">
        <v>104</v>
      </c>
      <c r="H48" t="s">
        <v>29</v>
      </c>
      <c r="I48">
        <v>23534</v>
      </c>
      <c r="J48">
        <v>7</v>
      </c>
      <c r="K48">
        <v>4.0999999999999996</v>
      </c>
      <c r="L48">
        <v>6</v>
      </c>
      <c r="M48" t="s">
        <v>47</v>
      </c>
    </row>
    <row r="49" spans="1:13" x14ac:dyDescent="0.3">
      <c r="A49" t="s">
        <v>173</v>
      </c>
      <c r="B49" t="s">
        <v>174</v>
      </c>
      <c r="C49" t="s">
        <v>125</v>
      </c>
      <c r="D49" t="s">
        <v>25</v>
      </c>
      <c r="E49" t="s">
        <v>26</v>
      </c>
      <c r="F49" t="s">
        <v>60</v>
      </c>
      <c r="G49" t="s">
        <v>54</v>
      </c>
      <c r="H49" t="s">
        <v>36</v>
      </c>
      <c r="I49">
        <v>39584</v>
      </c>
      <c r="J49">
        <v>4</v>
      </c>
      <c r="K49">
        <v>4.5999999999999996</v>
      </c>
      <c r="L49">
        <v>8</v>
      </c>
      <c r="M49" t="s">
        <v>65</v>
      </c>
    </row>
    <row r="50" spans="1:13" x14ac:dyDescent="0.3">
      <c r="A50" t="s">
        <v>175</v>
      </c>
      <c r="B50" t="s">
        <v>176</v>
      </c>
      <c r="C50" t="s">
        <v>129</v>
      </c>
      <c r="D50" t="s">
        <v>34</v>
      </c>
      <c r="E50" t="s">
        <v>35</v>
      </c>
      <c r="F50" t="s">
        <v>27</v>
      </c>
      <c r="G50" t="s">
        <v>28</v>
      </c>
      <c r="H50" t="s">
        <v>29</v>
      </c>
      <c r="I50">
        <v>258124</v>
      </c>
      <c r="J50">
        <v>4</v>
      </c>
      <c r="K50">
        <v>3.8</v>
      </c>
      <c r="L50">
        <v>6</v>
      </c>
      <c r="M50" t="s">
        <v>55</v>
      </c>
    </row>
    <row r="51" spans="1:13" x14ac:dyDescent="0.3">
      <c r="A51" t="s">
        <v>177</v>
      </c>
      <c r="B51" t="s">
        <v>178</v>
      </c>
      <c r="C51" t="s">
        <v>179</v>
      </c>
      <c r="D51" t="s">
        <v>130</v>
      </c>
      <c r="E51" t="s">
        <v>35</v>
      </c>
      <c r="F51" t="s">
        <v>83</v>
      </c>
      <c r="G51" t="s">
        <v>28</v>
      </c>
      <c r="H51" t="s">
        <v>29</v>
      </c>
      <c r="I51">
        <v>87718</v>
      </c>
      <c r="J51">
        <v>2</v>
      </c>
      <c r="K51">
        <v>4.9000000000000004</v>
      </c>
      <c r="L51">
        <v>3</v>
      </c>
      <c r="M51" t="s">
        <v>37</v>
      </c>
    </row>
    <row r="52" spans="1:13" x14ac:dyDescent="0.3">
      <c r="A52" t="s">
        <v>180</v>
      </c>
      <c r="B52" t="s">
        <v>181</v>
      </c>
      <c r="C52" t="s">
        <v>103</v>
      </c>
      <c r="D52" t="s">
        <v>59</v>
      </c>
      <c r="E52" t="s">
        <v>26</v>
      </c>
      <c r="F52" t="s">
        <v>18</v>
      </c>
      <c r="G52" t="s">
        <v>54</v>
      </c>
      <c r="H52" t="s">
        <v>29</v>
      </c>
      <c r="I52">
        <v>23008</v>
      </c>
      <c r="J52">
        <v>4</v>
      </c>
      <c r="K52">
        <v>3.2</v>
      </c>
      <c r="L52">
        <v>3</v>
      </c>
      <c r="M52" t="s">
        <v>87</v>
      </c>
    </row>
    <row r="53" spans="1:13" x14ac:dyDescent="0.3">
      <c r="A53" t="s">
        <v>182</v>
      </c>
      <c r="B53" t="s">
        <v>183</v>
      </c>
      <c r="C53" t="s">
        <v>103</v>
      </c>
      <c r="D53" t="s">
        <v>51</v>
      </c>
      <c r="E53" t="s">
        <v>52</v>
      </c>
      <c r="F53" t="s">
        <v>60</v>
      </c>
      <c r="G53" t="s">
        <v>54</v>
      </c>
      <c r="H53" t="s">
        <v>36</v>
      </c>
      <c r="I53">
        <v>1414</v>
      </c>
      <c r="J53">
        <v>1</v>
      </c>
      <c r="K53">
        <v>3.8</v>
      </c>
      <c r="L53">
        <v>1</v>
      </c>
      <c r="M53" t="s">
        <v>87</v>
      </c>
    </row>
    <row r="54" spans="1:13" x14ac:dyDescent="0.3">
      <c r="A54" t="s">
        <v>184</v>
      </c>
      <c r="B54" t="s">
        <v>185</v>
      </c>
      <c r="C54" t="s">
        <v>78</v>
      </c>
      <c r="D54" t="s">
        <v>90</v>
      </c>
      <c r="E54" t="s">
        <v>42</v>
      </c>
      <c r="F54" t="s">
        <v>60</v>
      </c>
      <c r="G54" t="s">
        <v>19</v>
      </c>
      <c r="H54" t="s">
        <v>64</v>
      </c>
      <c r="I54">
        <v>3189</v>
      </c>
      <c r="J54">
        <v>1</v>
      </c>
      <c r="K54">
        <v>5</v>
      </c>
      <c r="L54">
        <v>2</v>
      </c>
      <c r="M54" t="s">
        <v>87</v>
      </c>
    </row>
    <row r="55" spans="1:13" x14ac:dyDescent="0.3">
      <c r="A55" t="s">
        <v>186</v>
      </c>
      <c r="B55" t="s">
        <v>187</v>
      </c>
      <c r="C55" t="s">
        <v>75</v>
      </c>
      <c r="D55" t="s">
        <v>90</v>
      </c>
      <c r="E55" t="s">
        <v>42</v>
      </c>
      <c r="F55" t="s">
        <v>83</v>
      </c>
      <c r="G55" t="s">
        <v>19</v>
      </c>
      <c r="H55" t="s">
        <v>20</v>
      </c>
      <c r="I55">
        <v>10584</v>
      </c>
      <c r="J55">
        <v>7</v>
      </c>
      <c r="K55">
        <v>4.3</v>
      </c>
      <c r="L55">
        <v>5</v>
      </c>
      <c r="M55" t="s">
        <v>126</v>
      </c>
    </row>
    <row r="56" spans="1:13" x14ac:dyDescent="0.3">
      <c r="A56" t="s">
        <v>188</v>
      </c>
      <c r="B56" t="s">
        <v>189</v>
      </c>
      <c r="C56" t="s">
        <v>40</v>
      </c>
      <c r="D56" t="s">
        <v>25</v>
      </c>
      <c r="E56" t="s">
        <v>26</v>
      </c>
      <c r="F56" t="s">
        <v>27</v>
      </c>
      <c r="G56" t="s">
        <v>28</v>
      </c>
      <c r="H56" t="s">
        <v>36</v>
      </c>
      <c r="I56">
        <v>5571</v>
      </c>
      <c r="J56">
        <v>1</v>
      </c>
      <c r="K56">
        <v>3.3</v>
      </c>
      <c r="L56">
        <v>5</v>
      </c>
      <c r="M56" t="s">
        <v>80</v>
      </c>
    </row>
    <row r="57" spans="1:13" x14ac:dyDescent="0.3">
      <c r="A57" t="s">
        <v>190</v>
      </c>
      <c r="B57" t="s">
        <v>191</v>
      </c>
      <c r="C57" t="s">
        <v>72</v>
      </c>
      <c r="D57" t="s">
        <v>109</v>
      </c>
      <c r="E57" t="s">
        <v>52</v>
      </c>
      <c r="F57" t="s">
        <v>18</v>
      </c>
      <c r="G57" t="s">
        <v>54</v>
      </c>
      <c r="H57" t="s">
        <v>20</v>
      </c>
      <c r="I57">
        <v>2880</v>
      </c>
      <c r="J57">
        <v>4</v>
      </c>
      <c r="K57">
        <v>3.5</v>
      </c>
      <c r="L57">
        <v>5</v>
      </c>
      <c r="M57" t="s">
        <v>192</v>
      </c>
    </row>
    <row r="58" spans="1:13" x14ac:dyDescent="0.3">
      <c r="A58" t="s">
        <v>193</v>
      </c>
      <c r="B58" t="s">
        <v>102</v>
      </c>
      <c r="C58" t="s">
        <v>146</v>
      </c>
      <c r="D58" t="s">
        <v>165</v>
      </c>
      <c r="E58" t="s">
        <v>35</v>
      </c>
      <c r="F58" t="s">
        <v>18</v>
      </c>
      <c r="G58" t="s">
        <v>54</v>
      </c>
      <c r="H58" t="s">
        <v>64</v>
      </c>
      <c r="I58">
        <v>319665</v>
      </c>
      <c r="J58">
        <v>5</v>
      </c>
      <c r="K58">
        <v>4.9000000000000004</v>
      </c>
      <c r="L58">
        <v>8</v>
      </c>
      <c r="M58" t="s">
        <v>30</v>
      </c>
    </row>
    <row r="59" spans="1:13" x14ac:dyDescent="0.3">
      <c r="A59" t="s">
        <v>194</v>
      </c>
      <c r="B59" t="s">
        <v>195</v>
      </c>
      <c r="C59" t="s">
        <v>58</v>
      </c>
      <c r="D59" t="s">
        <v>165</v>
      </c>
      <c r="E59" t="s">
        <v>35</v>
      </c>
      <c r="F59" t="s">
        <v>18</v>
      </c>
      <c r="G59" t="s">
        <v>19</v>
      </c>
      <c r="H59" t="s">
        <v>64</v>
      </c>
      <c r="I59">
        <v>77892</v>
      </c>
      <c r="J59">
        <v>1</v>
      </c>
      <c r="K59">
        <v>5</v>
      </c>
      <c r="L59">
        <v>5</v>
      </c>
      <c r="M59" t="s">
        <v>21</v>
      </c>
    </row>
    <row r="60" spans="1:13" x14ac:dyDescent="0.3">
      <c r="A60" t="s">
        <v>196</v>
      </c>
      <c r="B60" t="s">
        <v>197</v>
      </c>
      <c r="C60" t="s">
        <v>170</v>
      </c>
      <c r="D60" t="s">
        <v>69</v>
      </c>
      <c r="E60" t="s">
        <v>26</v>
      </c>
      <c r="F60" t="s">
        <v>27</v>
      </c>
      <c r="G60" t="s">
        <v>54</v>
      </c>
      <c r="H60" t="s">
        <v>20</v>
      </c>
      <c r="I60">
        <v>25500</v>
      </c>
      <c r="J60">
        <v>3</v>
      </c>
      <c r="K60">
        <v>3.8</v>
      </c>
      <c r="L60">
        <v>6</v>
      </c>
      <c r="M60" t="s">
        <v>21</v>
      </c>
    </row>
    <row r="61" spans="1:13" x14ac:dyDescent="0.3">
      <c r="A61" t="s">
        <v>198</v>
      </c>
      <c r="B61" t="s">
        <v>199</v>
      </c>
      <c r="C61" t="s">
        <v>170</v>
      </c>
      <c r="D61" t="s">
        <v>97</v>
      </c>
      <c r="E61" t="s">
        <v>35</v>
      </c>
      <c r="F61" t="s">
        <v>18</v>
      </c>
      <c r="G61" t="s">
        <v>28</v>
      </c>
      <c r="H61" t="s">
        <v>36</v>
      </c>
      <c r="I61">
        <v>596816</v>
      </c>
      <c r="J61">
        <v>8</v>
      </c>
      <c r="K61">
        <v>3.4</v>
      </c>
      <c r="L61">
        <v>5</v>
      </c>
      <c r="M61" t="s">
        <v>119</v>
      </c>
    </row>
    <row r="62" spans="1:13" x14ac:dyDescent="0.3">
      <c r="A62" t="s">
        <v>200</v>
      </c>
      <c r="B62" t="s">
        <v>201</v>
      </c>
      <c r="C62" t="s">
        <v>179</v>
      </c>
      <c r="D62" t="s">
        <v>69</v>
      </c>
      <c r="E62" t="s">
        <v>26</v>
      </c>
      <c r="F62" t="s">
        <v>53</v>
      </c>
      <c r="G62" t="s">
        <v>19</v>
      </c>
      <c r="H62" t="s">
        <v>29</v>
      </c>
      <c r="I62">
        <v>8967</v>
      </c>
      <c r="J62">
        <v>1</v>
      </c>
      <c r="K62">
        <v>4.3</v>
      </c>
      <c r="L62">
        <v>1</v>
      </c>
      <c r="M62" t="s">
        <v>55</v>
      </c>
    </row>
    <row r="63" spans="1:13" x14ac:dyDescent="0.3">
      <c r="A63" t="s">
        <v>202</v>
      </c>
      <c r="B63" t="s">
        <v>203</v>
      </c>
      <c r="C63" t="s">
        <v>75</v>
      </c>
      <c r="D63" t="s">
        <v>90</v>
      </c>
      <c r="E63" t="s">
        <v>42</v>
      </c>
      <c r="F63" t="s">
        <v>83</v>
      </c>
      <c r="G63" t="s">
        <v>54</v>
      </c>
      <c r="H63" t="s">
        <v>64</v>
      </c>
      <c r="I63">
        <v>3245</v>
      </c>
      <c r="J63">
        <v>1</v>
      </c>
      <c r="K63">
        <v>3.2</v>
      </c>
      <c r="L63">
        <v>7</v>
      </c>
      <c r="M63" t="s">
        <v>80</v>
      </c>
    </row>
    <row r="64" spans="1:13" x14ac:dyDescent="0.3">
      <c r="A64" t="s">
        <v>204</v>
      </c>
      <c r="B64" t="s">
        <v>205</v>
      </c>
      <c r="C64" t="s">
        <v>50</v>
      </c>
      <c r="D64" t="s">
        <v>86</v>
      </c>
      <c r="E64" t="s">
        <v>17</v>
      </c>
      <c r="F64" t="s">
        <v>83</v>
      </c>
      <c r="G64" t="s">
        <v>19</v>
      </c>
      <c r="H64" t="s">
        <v>36</v>
      </c>
      <c r="I64">
        <v>6710</v>
      </c>
      <c r="J64">
        <v>5</v>
      </c>
      <c r="K64">
        <v>3.6</v>
      </c>
      <c r="L64">
        <v>3</v>
      </c>
      <c r="M64" t="s">
        <v>65</v>
      </c>
    </row>
    <row r="65" spans="1:13" x14ac:dyDescent="0.3">
      <c r="A65" t="s">
        <v>206</v>
      </c>
      <c r="B65" t="s">
        <v>207</v>
      </c>
      <c r="C65" t="s">
        <v>72</v>
      </c>
      <c r="D65" t="s">
        <v>97</v>
      </c>
      <c r="E65" t="s">
        <v>35</v>
      </c>
      <c r="F65" t="s">
        <v>60</v>
      </c>
      <c r="G65" t="s">
        <v>28</v>
      </c>
      <c r="H65" t="s">
        <v>29</v>
      </c>
      <c r="I65">
        <v>208160</v>
      </c>
      <c r="J65">
        <v>5</v>
      </c>
      <c r="K65">
        <v>5</v>
      </c>
      <c r="L65">
        <v>8</v>
      </c>
      <c r="M65" t="s">
        <v>126</v>
      </c>
    </row>
    <row r="66" spans="1:13" x14ac:dyDescent="0.3">
      <c r="A66" t="s">
        <v>208</v>
      </c>
      <c r="B66" t="s">
        <v>209</v>
      </c>
      <c r="C66" t="s">
        <v>33</v>
      </c>
      <c r="D66" t="s">
        <v>165</v>
      </c>
      <c r="E66" t="s">
        <v>35</v>
      </c>
      <c r="F66" t="s">
        <v>53</v>
      </c>
      <c r="G66" t="s">
        <v>28</v>
      </c>
      <c r="H66" t="s">
        <v>64</v>
      </c>
      <c r="I66">
        <v>190589</v>
      </c>
      <c r="J66">
        <v>7</v>
      </c>
      <c r="K66">
        <v>3.9</v>
      </c>
      <c r="L66">
        <v>7</v>
      </c>
      <c r="M66" t="s">
        <v>30</v>
      </c>
    </row>
    <row r="67" spans="1:13" x14ac:dyDescent="0.3">
      <c r="A67" t="s">
        <v>210</v>
      </c>
      <c r="B67" t="s">
        <v>211</v>
      </c>
      <c r="C67" t="s">
        <v>68</v>
      </c>
      <c r="D67" t="s">
        <v>159</v>
      </c>
      <c r="E67" t="s">
        <v>42</v>
      </c>
      <c r="F67" t="s">
        <v>100</v>
      </c>
      <c r="G67" t="s">
        <v>28</v>
      </c>
      <c r="H67" t="s">
        <v>36</v>
      </c>
      <c r="I67">
        <v>3419</v>
      </c>
      <c r="J67">
        <v>1</v>
      </c>
      <c r="K67">
        <v>4.8</v>
      </c>
      <c r="L67">
        <v>8</v>
      </c>
      <c r="M67" t="s">
        <v>65</v>
      </c>
    </row>
    <row r="68" spans="1:13" x14ac:dyDescent="0.3">
      <c r="A68" t="s">
        <v>212</v>
      </c>
      <c r="B68" t="s">
        <v>213</v>
      </c>
      <c r="C68" t="s">
        <v>170</v>
      </c>
      <c r="D68" t="s">
        <v>51</v>
      </c>
      <c r="E68" t="s">
        <v>52</v>
      </c>
      <c r="F68" t="s">
        <v>27</v>
      </c>
      <c r="G68" t="s">
        <v>28</v>
      </c>
      <c r="H68" t="s">
        <v>29</v>
      </c>
      <c r="I68">
        <v>6519</v>
      </c>
      <c r="J68">
        <v>3</v>
      </c>
      <c r="K68">
        <v>4.4000000000000004</v>
      </c>
      <c r="L68">
        <v>2</v>
      </c>
      <c r="M68" t="s">
        <v>119</v>
      </c>
    </row>
    <row r="69" spans="1:13" x14ac:dyDescent="0.3">
      <c r="A69" t="s">
        <v>214</v>
      </c>
      <c r="B69" t="s">
        <v>215</v>
      </c>
      <c r="C69" t="s">
        <v>146</v>
      </c>
      <c r="D69" t="s">
        <v>41</v>
      </c>
      <c r="E69" t="s">
        <v>42</v>
      </c>
      <c r="F69" t="s">
        <v>83</v>
      </c>
      <c r="G69" t="s">
        <v>104</v>
      </c>
      <c r="H69" t="s">
        <v>36</v>
      </c>
      <c r="I69">
        <v>2880</v>
      </c>
      <c r="J69">
        <v>2</v>
      </c>
      <c r="K69">
        <v>5</v>
      </c>
      <c r="L69">
        <v>2</v>
      </c>
      <c r="M69" t="s">
        <v>192</v>
      </c>
    </row>
    <row r="70" spans="1:13" x14ac:dyDescent="0.3">
      <c r="A70" t="s">
        <v>216</v>
      </c>
      <c r="B70" t="s">
        <v>217</v>
      </c>
      <c r="C70" t="s">
        <v>24</v>
      </c>
      <c r="D70" t="s">
        <v>218</v>
      </c>
      <c r="E70" t="s">
        <v>17</v>
      </c>
      <c r="F70" t="s">
        <v>83</v>
      </c>
      <c r="G70" t="s">
        <v>54</v>
      </c>
      <c r="H70" t="s">
        <v>64</v>
      </c>
      <c r="I70">
        <v>5170</v>
      </c>
      <c r="J70">
        <v>5</v>
      </c>
      <c r="K70">
        <v>4.2</v>
      </c>
      <c r="L70">
        <v>3</v>
      </c>
      <c r="M70" t="s">
        <v>144</v>
      </c>
    </row>
    <row r="71" spans="1:13" x14ac:dyDescent="0.3">
      <c r="A71" t="s">
        <v>219</v>
      </c>
      <c r="B71" t="s">
        <v>220</v>
      </c>
      <c r="C71" t="s">
        <v>40</v>
      </c>
      <c r="D71" t="s">
        <v>79</v>
      </c>
      <c r="E71" t="s">
        <v>26</v>
      </c>
      <c r="F71" t="s">
        <v>27</v>
      </c>
      <c r="G71" t="s">
        <v>19</v>
      </c>
      <c r="H71" t="s">
        <v>36</v>
      </c>
      <c r="I71">
        <v>14949</v>
      </c>
      <c r="J71">
        <v>3</v>
      </c>
      <c r="K71">
        <v>4.4000000000000004</v>
      </c>
      <c r="L71">
        <v>8</v>
      </c>
      <c r="M71" t="s">
        <v>65</v>
      </c>
    </row>
    <row r="72" spans="1:13" x14ac:dyDescent="0.3">
      <c r="A72" t="s">
        <v>221</v>
      </c>
      <c r="B72" t="s">
        <v>222</v>
      </c>
      <c r="C72" t="s">
        <v>125</v>
      </c>
      <c r="D72" t="s">
        <v>46</v>
      </c>
      <c r="E72" t="s">
        <v>42</v>
      </c>
      <c r="F72" t="s">
        <v>18</v>
      </c>
      <c r="G72" t="s">
        <v>19</v>
      </c>
      <c r="H72" t="s">
        <v>64</v>
      </c>
      <c r="I72">
        <v>22210</v>
      </c>
      <c r="J72">
        <v>5</v>
      </c>
      <c r="K72">
        <v>3.6</v>
      </c>
      <c r="L72">
        <v>7</v>
      </c>
      <c r="M72" t="s">
        <v>30</v>
      </c>
    </row>
    <row r="73" spans="1:13" x14ac:dyDescent="0.3">
      <c r="A73" t="s">
        <v>223</v>
      </c>
      <c r="B73" t="s">
        <v>224</v>
      </c>
      <c r="C73" t="s">
        <v>45</v>
      </c>
      <c r="D73" t="s">
        <v>59</v>
      </c>
      <c r="E73" t="s">
        <v>26</v>
      </c>
      <c r="F73" t="s">
        <v>27</v>
      </c>
      <c r="G73" t="s">
        <v>28</v>
      </c>
      <c r="H73" t="s">
        <v>29</v>
      </c>
      <c r="I73">
        <v>26485</v>
      </c>
      <c r="J73">
        <v>5</v>
      </c>
      <c r="K73">
        <v>3.2</v>
      </c>
      <c r="L73">
        <v>1</v>
      </c>
      <c r="M73" t="s">
        <v>30</v>
      </c>
    </row>
    <row r="74" spans="1:13" x14ac:dyDescent="0.3">
      <c r="A74" t="s">
        <v>225</v>
      </c>
      <c r="B74" t="s">
        <v>226</v>
      </c>
      <c r="C74" t="s">
        <v>40</v>
      </c>
      <c r="D74" t="s">
        <v>109</v>
      </c>
      <c r="E74" t="s">
        <v>52</v>
      </c>
      <c r="F74" t="s">
        <v>60</v>
      </c>
      <c r="G74" t="s">
        <v>54</v>
      </c>
      <c r="H74" t="s">
        <v>29</v>
      </c>
      <c r="I74">
        <v>5104</v>
      </c>
      <c r="J74">
        <v>4</v>
      </c>
      <c r="K74">
        <v>4.8</v>
      </c>
      <c r="L74">
        <v>1</v>
      </c>
      <c r="M74" t="s">
        <v>37</v>
      </c>
    </row>
    <row r="75" spans="1:13" x14ac:dyDescent="0.3">
      <c r="A75" t="s">
        <v>227</v>
      </c>
      <c r="B75" t="s">
        <v>228</v>
      </c>
      <c r="C75" t="s">
        <v>112</v>
      </c>
      <c r="D75" t="s">
        <v>147</v>
      </c>
      <c r="E75" t="s">
        <v>52</v>
      </c>
      <c r="F75" t="s">
        <v>100</v>
      </c>
      <c r="G75" t="s">
        <v>104</v>
      </c>
      <c r="H75" t="s">
        <v>20</v>
      </c>
      <c r="I75">
        <v>5814</v>
      </c>
      <c r="J75">
        <v>6</v>
      </c>
      <c r="K75">
        <v>4.8</v>
      </c>
      <c r="L75">
        <v>6</v>
      </c>
      <c r="M75" t="s">
        <v>126</v>
      </c>
    </row>
    <row r="76" spans="1:13" x14ac:dyDescent="0.3">
      <c r="A76" t="s">
        <v>229</v>
      </c>
      <c r="B76" t="s">
        <v>228</v>
      </c>
      <c r="C76" t="s">
        <v>78</v>
      </c>
      <c r="D76" t="s">
        <v>97</v>
      </c>
      <c r="E76" t="s">
        <v>35</v>
      </c>
      <c r="F76" t="s">
        <v>53</v>
      </c>
      <c r="G76" t="s">
        <v>54</v>
      </c>
      <c r="H76" t="s">
        <v>64</v>
      </c>
      <c r="I76">
        <v>74214</v>
      </c>
      <c r="J76">
        <v>6</v>
      </c>
      <c r="K76">
        <v>4.7</v>
      </c>
      <c r="L76">
        <v>7</v>
      </c>
      <c r="M76" t="s">
        <v>126</v>
      </c>
    </row>
    <row r="77" spans="1:13" x14ac:dyDescent="0.3">
      <c r="A77" t="s">
        <v>230</v>
      </c>
      <c r="B77" t="s">
        <v>231</v>
      </c>
      <c r="C77" t="s">
        <v>68</v>
      </c>
      <c r="D77" t="s">
        <v>218</v>
      </c>
      <c r="E77" t="s">
        <v>17</v>
      </c>
      <c r="F77" t="s">
        <v>27</v>
      </c>
      <c r="G77" t="s">
        <v>19</v>
      </c>
      <c r="H77" t="s">
        <v>64</v>
      </c>
      <c r="I77">
        <v>2462</v>
      </c>
      <c r="J77">
        <v>2</v>
      </c>
      <c r="K77">
        <v>4.7</v>
      </c>
      <c r="L77">
        <v>6</v>
      </c>
      <c r="M77" t="s">
        <v>30</v>
      </c>
    </row>
    <row r="78" spans="1:13" x14ac:dyDescent="0.3">
      <c r="A78" t="s">
        <v>232</v>
      </c>
      <c r="B78" t="s">
        <v>233</v>
      </c>
      <c r="C78" t="s">
        <v>33</v>
      </c>
      <c r="D78" t="s">
        <v>218</v>
      </c>
      <c r="E78" t="s">
        <v>17</v>
      </c>
      <c r="F78" t="s">
        <v>18</v>
      </c>
      <c r="G78" t="s">
        <v>104</v>
      </c>
      <c r="H78" t="s">
        <v>64</v>
      </c>
      <c r="I78">
        <v>6504</v>
      </c>
      <c r="J78">
        <v>4</v>
      </c>
      <c r="K78">
        <v>3.9</v>
      </c>
      <c r="L78">
        <v>3</v>
      </c>
      <c r="M78" t="s">
        <v>192</v>
      </c>
    </row>
    <row r="79" spans="1:13" x14ac:dyDescent="0.3">
      <c r="A79" t="s">
        <v>234</v>
      </c>
      <c r="B79" t="s">
        <v>235</v>
      </c>
      <c r="C79" t="s">
        <v>133</v>
      </c>
      <c r="D79" t="s">
        <v>16</v>
      </c>
      <c r="E79" t="s">
        <v>17</v>
      </c>
      <c r="F79" t="s">
        <v>27</v>
      </c>
      <c r="G79" t="s">
        <v>54</v>
      </c>
      <c r="H79" t="s">
        <v>64</v>
      </c>
      <c r="I79">
        <v>3285</v>
      </c>
      <c r="J79">
        <v>3</v>
      </c>
      <c r="K79">
        <v>4.3</v>
      </c>
      <c r="L79">
        <v>3</v>
      </c>
      <c r="M79" t="s">
        <v>21</v>
      </c>
    </row>
    <row r="80" spans="1:13" x14ac:dyDescent="0.3">
      <c r="A80" t="s">
        <v>236</v>
      </c>
      <c r="B80" t="s">
        <v>237</v>
      </c>
      <c r="C80" t="s">
        <v>68</v>
      </c>
      <c r="D80" t="s">
        <v>69</v>
      </c>
      <c r="E80" t="s">
        <v>26</v>
      </c>
      <c r="F80" t="s">
        <v>27</v>
      </c>
      <c r="G80" t="s">
        <v>104</v>
      </c>
      <c r="H80" t="s">
        <v>29</v>
      </c>
      <c r="I80">
        <v>8085</v>
      </c>
      <c r="J80">
        <v>1</v>
      </c>
      <c r="K80">
        <v>4.9000000000000004</v>
      </c>
      <c r="L80">
        <v>6</v>
      </c>
      <c r="M80" t="s">
        <v>21</v>
      </c>
    </row>
    <row r="81" spans="1:13" x14ac:dyDescent="0.3">
      <c r="A81" t="s">
        <v>238</v>
      </c>
      <c r="B81" t="s">
        <v>115</v>
      </c>
      <c r="C81" t="s">
        <v>33</v>
      </c>
      <c r="D81" t="s">
        <v>116</v>
      </c>
      <c r="E81" t="s">
        <v>17</v>
      </c>
      <c r="F81" t="s">
        <v>53</v>
      </c>
      <c r="G81" t="s">
        <v>19</v>
      </c>
      <c r="H81" t="s">
        <v>20</v>
      </c>
      <c r="I81">
        <v>2200</v>
      </c>
      <c r="J81">
        <v>4</v>
      </c>
      <c r="K81">
        <v>4.4000000000000004</v>
      </c>
      <c r="L81">
        <v>1</v>
      </c>
      <c r="M81" t="s">
        <v>21</v>
      </c>
    </row>
    <row r="82" spans="1:13" x14ac:dyDescent="0.3">
      <c r="A82" t="s">
        <v>239</v>
      </c>
      <c r="B82" t="s">
        <v>108</v>
      </c>
      <c r="C82" t="s">
        <v>103</v>
      </c>
      <c r="D82" t="s">
        <v>79</v>
      </c>
      <c r="E82" t="s">
        <v>26</v>
      </c>
      <c r="F82" t="s">
        <v>83</v>
      </c>
      <c r="G82" t="s">
        <v>19</v>
      </c>
      <c r="H82" t="s">
        <v>29</v>
      </c>
      <c r="I82">
        <v>12868</v>
      </c>
      <c r="J82">
        <v>4</v>
      </c>
      <c r="K82">
        <v>4.5999999999999996</v>
      </c>
      <c r="L82">
        <v>1</v>
      </c>
      <c r="M82" t="s">
        <v>87</v>
      </c>
    </row>
    <row r="83" spans="1:13" x14ac:dyDescent="0.3">
      <c r="A83" t="s">
        <v>240</v>
      </c>
      <c r="B83" t="s">
        <v>167</v>
      </c>
      <c r="C83" t="s">
        <v>103</v>
      </c>
      <c r="D83" t="s">
        <v>147</v>
      </c>
      <c r="E83" t="s">
        <v>52</v>
      </c>
      <c r="F83" t="s">
        <v>18</v>
      </c>
      <c r="G83" t="s">
        <v>19</v>
      </c>
      <c r="H83" t="s">
        <v>64</v>
      </c>
      <c r="I83">
        <v>310</v>
      </c>
      <c r="J83">
        <v>1</v>
      </c>
      <c r="K83">
        <v>3.8</v>
      </c>
      <c r="L83">
        <v>3</v>
      </c>
      <c r="M83" t="s">
        <v>119</v>
      </c>
    </row>
    <row r="84" spans="1:13" x14ac:dyDescent="0.3">
      <c r="A84" t="s">
        <v>241</v>
      </c>
      <c r="B84" t="s">
        <v>242</v>
      </c>
      <c r="C84" t="s">
        <v>45</v>
      </c>
      <c r="D84" t="s">
        <v>25</v>
      </c>
      <c r="E84" t="s">
        <v>26</v>
      </c>
      <c r="F84" t="s">
        <v>18</v>
      </c>
      <c r="G84" t="s">
        <v>104</v>
      </c>
      <c r="H84" t="s">
        <v>64</v>
      </c>
      <c r="I84">
        <v>20688</v>
      </c>
      <c r="J84">
        <v>8</v>
      </c>
      <c r="K84">
        <v>4</v>
      </c>
      <c r="L84">
        <v>4</v>
      </c>
      <c r="M84" t="s">
        <v>87</v>
      </c>
    </row>
    <row r="85" spans="1:13" x14ac:dyDescent="0.3">
      <c r="A85" t="s">
        <v>243</v>
      </c>
      <c r="B85" t="s">
        <v>244</v>
      </c>
      <c r="C85" t="s">
        <v>45</v>
      </c>
      <c r="D85" t="s">
        <v>16</v>
      </c>
      <c r="E85" t="s">
        <v>17</v>
      </c>
      <c r="F85" t="s">
        <v>83</v>
      </c>
      <c r="G85" t="s">
        <v>54</v>
      </c>
      <c r="H85" t="s">
        <v>20</v>
      </c>
      <c r="I85">
        <v>8211</v>
      </c>
      <c r="J85">
        <v>7</v>
      </c>
      <c r="K85">
        <v>4.8</v>
      </c>
      <c r="L85">
        <v>6</v>
      </c>
      <c r="M85" t="s">
        <v>65</v>
      </c>
    </row>
    <row r="86" spans="1:13" x14ac:dyDescent="0.3">
      <c r="A86" t="s">
        <v>245</v>
      </c>
      <c r="B86" t="s">
        <v>246</v>
      </c>
      <c r="C86" t="s">
        <v>68</v>
      </c>
      <c r="D86" t="s">
        <v>165</v>
      </c>
      <c r="E86" t="s">
        <v>35</v>
      </c>
      <c r="F86" t="s">
        <v>27</v>
      </c>
      <c r="G86" t="s">
        <v>19</v>
      </c>
      <c r="H86" t="s">
        <v>64</v>
      </c>
      <c r="I86">
        <v>246912</v>
      </c>
      <c r="J86">
        <v>6</v>
      </c>
      <c r="K86">
        <v>4.3</v>
      </c>
      <c r="L86">
        <v>2</v>
      </c>
      <c r="M86" t="s">
        <v>192</v>
      </c>
    </row>
    <row r="87" spans="1:13" x14ac:dyDescent="0.3">
      <c r="A87" t="s">
        <v>247</v>
      </c>
      <c r="B87" t="s">
        <v>201</v>
      </c>
      <c r="C87" t="s">
        <v>129</v>
      </c>
      <c r="D87" t="s">
        <v>159</v>
      </c>
      <c r="E87" t="s">
        <v>42</v>
      </c>
      <c r="F87" t="s">
        <v>83</v>
      </c>
      <c r="G87" t="s">
        <v>28</v>
      </c>
      <c r="H87" t="s">
        <v>36</v>
      </c>
      <c r="I87">
        <v>8868</v>
      </c>
      <c r="J87">
        <v>6</v>
      </c>
      <c r="K87">
        <v>4</v>
      </c>
      <c r="L87">
        <v>5</v>
      </c>
      <c r="M87" t="s">
        <v>55</v>
      </c>
    </row>
    <row r="88" spans="1:13" x14ac:dyDescent="0.3">
      <c r="A88" t="s">
        <v>248</v>
      </c>
      <c r="B88" t="s">
        <v>94</v>
      </c>
      <c r="C88" t="s">
        <v>68</v>
      </c>
      <c r="D88" t="s">
        <v>16</v>
      </c>
      <c r="E88" t="s">
        <v>17</v>
      </c>
      <c r="F88" t="s">
        <v>60</v>
      </c>
      <c r="G88" t="s">
        <v>104</v>
      </c>
      <c r="H88" t="s">
        <v>64</v>
      </c>
      <c r="I88">
        <v>3479</v>
      </c>
      <c r="J88">
        <v>7</v>
      </c>
      <c r="K88">
        <v>4.3</v>
      </c>
      <c r="L88">
        <v>6</v>
      </c>
      <c r="M88" t="s">
        <v>87</v>
      </c>
    </row>
    <row r="89" spans="1:13" x14ac:dyDescent="0.3">
      <c r="A89" t="s">
        <v>249</v>
      </c>
      <c r="B89" t="s">
        <v>250</v>
      </c>
      <c r="C89" t="s">
        <v>122</v>
      </c>
      <c r="D89" t="s">
        <v>218</v>
      </c>
      <c r="E89" t="s">
        <v>17</v>
      </c>
      <c r="F89" t="s">
        <v>18</v>
      </c>
      <c r="G89" t="s">
        <v>104</v>
      </c>
      <c r="H89" t="s">
        <v>29</v>
      </c>
      <c r="I89">
        <v>5100</v>
      </c>
      <c r="J89">
        <v>5</v>
      </c>
      <c r="K89">
        <v>3.5</v>
      </c>
      <c r="L89">
        <v>8</v>
      </c>
      <c r="M89" t="s">
        <v>192</v>
      </c>
    </row>
    <row r="90" spans="1:13" x14ac:dyDescent="0.3">
      <c r="A90" t="s">
        <v>251</v>
      </c>
      <c r="B90" t="s">
        <v>252</v>
      </c>
      <c r="C90" t="s">
        <v>170</v>
      </c>
      <c r="D90" t="s">
        <v>218</v>
      </c>
      <c r="E90" t="s">
        <v>17</v>
      </c>
      <c r="F90" t="s">
        <v>53</v>
      </c>
      <c r="G90" t="s">
        <v>54</v>
      </c>
      <c r="H90" t="s">
        <v>20</v>
      </c>
      <c r="I90">
        <v>4712</v>
      </c>
      <c r="J90">
        <v>4</v>
      </c>
      <c r="K90">
        <v>3.5</v>
      </c>
      <c r="L90">
        <v>5</v>
      </c>
      <c r="M90" t="s">
        <v>30</v>
      </c>
    </row>
    <row r="91" spans="1:13" x14ac:dyDescent="0.3">
      <c r="A91" t="s">
        <v>253</v>
      </c>
      <c r="B91" t="s">
        <v>108</v>
      </c>
      <c r="C91" t="s">
        <v>170</v>
      </c>
      <c r="D91" t="s">
        <v>51</v>
      </c>
      <c r="E91" t="s">
        <v>52</v>
      </c>
      <c r="F91" t="s">
        <v>83</v>
      </c>
      <c r="G91" t="s">
        <v>104</v>
      </c>
      <c r="H91" t="s">
        <v>29</v>
      </c>
      <c r="I91">
        <v>1125</v>
      </c>
      <c r="J91">
        <v>3</v>
      </c>
      <c r="K91">
        <v>3.9</v>
      </c>
      <c r="L91">
        <v>8</v>
      </c>
      <c r="M91" t="s">
        <v>87</v>
      </c>
    </row>
    <row r="92" spans="1:13" x14ac:dyDescent="0.3">
      <c r="A92" t="s">
        <v>254</v>
      </c>
      <c r="B92" t="s">
        <v>255</v>
      </c>
      <c r="C92" t="s">
        <v>146</v>
      </c>
      <c r="D92" t="s">
        <v>165</v>
      </c>
      <c r="E92" t="s">
        <v>35</v>
      </c>
      <c r="F92" t="s">
        <v>27</v>
      </c>
      <c r="G92" t="s">
        <v>28</v>
      </c>
      <c r="H92" t="s">
        <v>64</v>
      </c>
      <c r="I92">
        <v>46264</v>
      </c>
      <c r="J92">
        <v>2</v>
      </c>
      <c r="K92">
        <v>4.4000000000000004</v>
      </c>
      <c r="L92">
        <v>5</v>
      </c>
      <c r="M92" t="s">
        <v>192</v>
      </c>
    </row>
    <row r="93" spans="1:13" x14ac:dyDescent="0.3">
      <c r="A93" t="s">
        <v>256</v>
      </c>
      <c r="B93" t="s">
        <v>257</v>
      </c>
      <c r="C93" t="s">
        <v>112</v>
      </c>
      <c r="D93" t="s">
        <v>69</v>
      </c>
      <c r="E93" t="s">
        <v>26</v>
      </c>
      <c r="F93" t="s">
        <v>27</v>
      </c>
      <c r="G93" t="s">
        <v>104</v>
      </c>
      <c r="H93" t="s">
        <v>36</v>
      </c>
      <c r="I93">
        <v>39215</v>
      </c>
      <c r="J93">
        <v>5</v>
      </c>
      <c r="K93">
        <v>3.4</v>
      </c>
      <c r="L93">
        <v>8</v>
      </c>
      <c r="M93" t="s">
        <v>47</v>
      </c>
    </row>
    <row r="94" spans="1:13" x14ac:dyDescent="0.3">
      <c r="A94" t="s">
        <v>258</v>
      </c>
      <c r="B94" t="s">
        <v>259</v>
      </c>
      <c r="C94" t="s">
        <v>170</v>
      </c>
      <c r="D94" t="s">
        <v>51</v>
      </c>
      <c r="E94" t="s">
        <v>52</v>
      </c>
      <c r="F94" t="s">
        <v>18</v>
      </c>
      <c r="G94" t="s">
        <v>54</v>
      </c>
      <c r="H94" t="s">
        <v>64</v>
      </c>
      <c r="I94">
        <v>1087</v>
      </c>
      <c r="J94">
        <v>1</v>
      </c>
      <c r="K94">
        <v>4.5999999999999996</v>
      </c>
      <c r="L94">
        <v>5</v>
      </c>
      <c r="M94" t="s">
        <v>192</v>
      </c>
    </row>
    <row r="95" spans="1:13" x14ac:dyDescent="0.3">
      <c r="A95" t="s">
        <v>260</v>
      </c>
      <c r="B95" t="s">
        <v>261</v>
      </c>
      <c r="C95" t="s">
        <v>50</v>
      </c>
      <c r="D95" t="s">
        <v>159</v>
      </c>
      <c r="E95" t="s">
        <v>42</v>
      </c>
      <c r="F95" t="s">
        <v>27</v>
      </c>
      <c r="G95" t="s">
        <v>54</v>
      </c>
      <c r="H95" t="s">
        <v>64</v>
      </c>
      <c r="I95">
        <v>36939</v>
      </c>
      <c r="J95">
        <v>7</v>
      </c>
      <c r="K95">
        <v>4.7</v>
      </c>
      <c r="L95">
        <v>2</v>
      </c>
      <c r="M95" t="s">
        <v>80</v>
      </c>
    </row>
    <row r="96" spans="1:13" x14ac:dyDescent="0.3">
      <c r="A96" t="s">
        <v>262</v>
      </c>
      <c r="B96" t="s">
        <v>263</v>
      </c>
      <c r="C96" t="s">
        <v>50</v>
      </c>
      <c r="D96" t="s">
        <v>116</v>
      </c>
      <c r="E96" t="s">
        <v>17</v>
      </c>
      <c r="F96" t="s">
        <v>18</v>
      </c>
      <c r="G96" t="s">
        <v>104</v>
      </c>
      <c r="H96" t="s">
        <v>20</v>
      </c>
      <c r="I96">
        <v>8874</v>
      </c>
      <c r="J96">
        <v>6</v>
      </c>
      <c r="K96">
        <v>4</v>
      </c>
      <c r="L96">
        <v>2</v>
      </c>
      <c r="M96" t="s">
        <v>87</v>
      </c>
    </row>
    <row r="97" spans="1:13" x14ac:dyDescent="0.3">
      <c r="A97" t="s">
        <v>264</v>
      </c>
      <c r="B97" t="s">
        <v>118</v>
      </c>
      <c r="C97" t="s">
        <v>50</v>
      </c>
      <c r="D97" t="s">
        <v>69</v>
      </c>
      <c r="E97" t="s">
        <v>26</v>
      </c>
      <c r="F97" t="s">
        <v>53</v>
      </c>
      <c r="G97" t="s">
        <v>104</v>
      </c>
      <c r="H97" t="s">
        <v>20</v>
      </c>
      <c r="I97">
        <v>47628</v>
      </c>
      <c r="J97">
        <v>6</v>
      </c>
      <c r="K97">
        <v>4.3</v>
      </c>
      <c r="L97">
        <v>2</v>
      </c>
      <c r="M97" t="s">
        <v>119</v>
      </c>
    </row>
    <row r="98" spans="1:13" x14ac:dyDescent="0.3">
      <c r="A98" t="s">
        <v>265</v>
      </c>
      <c r="B98" t="s">
        <v>263</v>
      </c>
      <c r="C98" t="s">
        <v>122</v>
      </c>
      <c r="D98" t="s">
        <v>34</v>
      </c>
      <c r="E98" t="s">
        <v>35</v>
      </c>
      <c r="F98" t="s">
        <v>18</v>
      </c>
      <c r="G98" t="s">
        <v>19</v>
      </c>
      <c r="H98" t="s">
        <v>29</v>
      </c>
      <c r="I98">
        <v>55830</v>
      </c>
      <c r="J98">
        <v>2</v>
      </c>
      <c r="K98">
        <v>4.5</v>
      </c>
      <c r="L98">
        <v>3</v>
      </c>
      <c r="M98" t="s">
        <v>87</v>
      </c>
    </row>
    <row r="99" spans="1:13" x14ac:dyDescent="0.3">
      <c r="A99" t="s">
        <v>266</v>
      </c>
      <c r="B99" t="s">
        <v>267</v>
      </c>
      <c r="C99" t="s">
        <v>58</v>
      </c>
      <c r="D99" t="s">
        <v>63</v>
      </c>
      <c r="E99" t="s">
        <v>52</v>
      </c>
      <c r="F99" t="s">
        <v>27</v>
      </c>
      <c r="G99" t="s">
        <v>104</v>
      </c>
      <c r="H99" t="s">
        <v>29</v>
      </c>
      <c r="I99">
        <v>1674</v>
      </c>
      <c r="J99">
        <v>3</v>
      </c>
      <c r="K99">
        <v>4</v>
      </c>
      <c r="L99">
        <v>8</v>
      </c>
      <c r="M99" t="s">
        <v>192</v>
      </c>
    </row>
    <row r="100" spans="1:13" x14ac:dyDescent="0.3">
      <c r="A100" t="s">
        <v>268</v>
      </c>
      <c r="B100" t="s">
        <v>85</v>
      </c>
      <c r="C100" t="s">
        <v>40</v>
      </c>
      <c r="D100" t="s">
        <v>51</v>
      </c>
      <c r="E100" t="s">
        <v>52</v>
      </c>
      <c r="F100" t="s">
        <v>60</v>
      </c>
      <c r="G100" t="s">
        <v>28</v>
      </c>
      <c r="H100" t="s">
        <v>36</v>
      </c>
      <c r="I100">
        <v>11920</v>
      </c>
      <c r="J100">
        <v>8</v>
      </c>
      <c r="K100">
        <v>3.8</v>
      </c>
      <c r="L100">
        <v>2</v>
      </c>
      <c r="M100" t="s">
        <v>87</v>
      </c>
    </row>
    <row r="101" spans="1:13" x14ac:dyDescent="0.3">
      <c r="A101" t="s">
        <v>269</v>
      </c>
      <c r="B101" t="s">
        <v>96</v>
      </c>
      <c r="C101" t="s">
        <v>146</v>
      </c>
      <c r="D101" t="s">
        <v>218</v>
      </c>
      <c r="E101" t="s">
        <v>17</v>
      </c>
      <c r="F101" t="s">
        <v>100</v>
      </c>
      <c r="G101" t="s">
        <v>19</v>
      </c>
      <c r="H101" t="s">
        <v>29</v>
      </c>
      <c r="I101">
        <v>3240</v>
      </c>
      <c r="J101">
        <v>2</v>
      </c>
      <c r="K101">
        <v>3.9</v>
      </c>
      <c r="L101">
        <v>1</v>
      </c>
      <c r="M101" t="s">
        <v>21</v>
      </c>
    </row>
    <row r="102" spans="1:13" x14ac:dyDescent="0.3">
      <c r="A102" t="s">
        <v>270</v>
      </c>
      <c r="B102" t="s">
        <v>271</v>
      </c>
      <c r="C102" t="s">
        <v>33</v>
      </c>
      <c r="D102" t="s">
        <v>69</v>
      </c>
      <c r="E102" t="s">
        <v>26</v>
      </c>
      <c r="F102" t="s">
        <v>83</v>
      </c>
      <c r="G102" t="s">
        <v>28</v>
      </c>
      <c r="H102" t="s">
        <v>64</v>
      </c>
      <c r="I102">
        <v>6543</v>
      </c>
      <c r="J102">
        <v>3</v>
      </c>
      <c r="K102">
        <v>4.0999999999999996</v>
      </c>
      <c r="L102">
        <v>3</v>
      </c>
      <c r="M102" t="s">
        <v>65</v>
      </c>
    </row>
    <row r="103" spans="1:13" x14ac:dyDescent="0.3">
      <c r="A103" t="s">
        <v>272</v>
      </c>
      <c r="B103" t="s">
        <v>273</v>
      </c>
      <c r="C103" t="s">
        <v>75</v>
      </c>
      <c r="D103" t="s">
        <v>79</v>
      </c>
      <c r="E103" t="s">
        <v>26</v>
      </c>
      <c r="F103" t="s">
        <v>53</v>
      </c>
      <c r="G103" t="s">
        <v>54</v>
      </c>
      <c r="H103" t="s">
        <v>64</v>
      </c>
      <c r="I103">
        <v>71538</v>
      </c>
      <c r="J103">
        <v>6</v>
      </c>
      <c r="K103">
        <v>4.3</v>
      </c>
      <c r="L103">
        <v>6</v>
      </c>
      <c r="M103" t="s">
        <v>55</v>
      </c>
    </row>
    <row r="104" spans="1:13" x14ac:dyDescent="0.3">
      <c r="A104" t="s">
        <v>274</v>
      </c>
      <c r="B104" t="s">
        <v>275</v>
      </c>
      <c r="C104" t="s">
        <v>72</v>
      </c>
      <c r="D104" t="s">
        <v>130</v>
      </c>
      <c r="E104" t="s">
        <v>35</v>
      </c>
      <c r="F104" t="s">
        <v>100</v>
      </c>
      <c r="G104" t="s">
        <v>54</v>
      </c>
      <c r="H104" t="s">
        <v>29</v>
      </c>
      <c r="I104">
        <v>236640</v>
      </c>
      <c r="J104">
        <v>3</v>
      </c>
      <c r="K104">
        <v>3.8</v>
      </c>
      <c r="L104">
        <v>7</v>
      </c>
      <c r="M104" t="s">
        <v>119</v>
      </c>
    </row>
    <row r="105" spans="1:13" x14ac:dyDescent="0.3">
      <c r="A105" t="s">
        <v>276</v>
      </c>
      <c r="B105" t="s">
        <v>277</v>
      </c>
      <c r="C105" t="s">
        <v>15</v>
      </c>
      <c r="D105" t="s">
        <v>69</v>
      </c>
      <c r="E105" t="s">
        <v>26</v>
      </c>
      <c r="F105" t="s">
        <v>53</v>
      </c>
      <c r="G105" t="s">
        <v>104</v>
      </c>
      <c r="H105" t="s">
        <v>20</v>
      </c>
      <c r="I105">
        <v>70704</v>
      </c>
      <c r="J105">
        <v>6</v>
      </c>
      <c r="K105">
        <v>4</v>
      </c>
      <c r="L105">
        <v>6</v>
      </c>
      <c r="M105" t="s">
        <v>192</v>
      </c>
    </row>
    <row r="106" spans="1:13" x14ac:dyDescent="0.3">
      <c r="A106" t="s">
        <v>278</v>
      </c>
      <c r="B106" t="s">
        <v>279</v>
      </c>
      <c r="C106" t="s">
        <v>112</v>
      </c>
      <c r="D106" t="s">
        <v>109</v>
      </c>
      <c r="E106" t="s">
        <v>52</v>
      </c>
      <c r="F106" t="s">
        <v>100</v>
      </c>
      <c r="G106" t="s">
        <v>54</v>
      </c>
      <c r="H106" t="s">
        <v>29</v>
      </c>
      <c r="I106">
        <v>3252</v>
      </c>
      <c r="J106">
        <v>4</v>
      </c>
      <c r="K106">
        <v>4.7</v>
      </c>
      <c r="L106">
        <v>2</v>
      </c>
      <c r="M106" t="s">
        <v>65</v>
      </c>
    </row>
    <row r="107" spans="1:13" x14ac:dyDescent="0.3">
      <c r="A107" t="s">
        <v>280</v>
      </c>
      <c r="B107" t="s">
        <v>255</v>
      </c>
      <c r="C107" t="s">
        <v>133</v>
      </c>
      <c r="D107" t="s">
        <v>79</v>
      </c>
      <c r="E107" t="s">
        <v>26</v>
      </c>
      <c r="F107" t="s">
        <v>53</v>
      </c>
      <c r="G107" t="s">
        <v>19</v>
      </c>
      <c r="H107" t="s">
        <v>64</v>
      </c>
      <c r="I107">
        <v>24584</v>
      </c>
      <c r="J107">
        <v>7</v>
      </c>
      <c r="K107">
        <v>4.5</v>
      </c>
      <c r="L107">
        <v>1</v>
      </c>
      <c r="M107" t="s">
        <v>192</v>
      </c>
    </row>
    <row r="108" spans="1:13" x14ac:dyDescent="0.3">
      <c r="A108" t="s">
        <v>281</v>
      </c>
      <c r="B108" t="s">
        <v>282</v>
      </c>
      <c r="C108" t="s">
        <v>146</v>
      </c>
      <c r="D108" t="s">
        <v>59</v>
      </c>
      <c r="E108" t="s">
        <v>26</v>
      </c>
      <c r="F108" t="s">
        <v>53</v>
      </c>
      <c r="G108" t="s">
        <v>28</v>
      </c>
      <c r="H108" t="s">
        <v>64</v>
      </c>
      <c r="I108">
        <v>15912</v>
      </c>
      <c r="J108">
        <v>4</v>
      </c>
      <c r="K108">
        <v>3.9</v>
      </c>
      <c r="L108">
        <v>8</v>
      </c>
      <c r="M108" t="s">
        <v>47</v>
      </c>
    </row>
    <row r="109" spans="1:13" x14ac:dyDescent="0.3">
      <c r="A109" t="s">
        <v>283</v>
      </c>
      <c r="B109" t="s">
        <v>284</v>
      </c>
      <c r="C109" t="s">
        <v>40</v>
      </c>
      <c r="D109" t="s">
        <v>63</v>
      </c>
      <c r="E109" t="s">
        <v>52</v>
      </c>
      <c r="F109" t="s">
        <v>18</v>
      </c>
      <c r="G109" t="s">
        <v>19</v>
      </c>
      <c r="H109" t="s">
        <v>29</v>
      </c>
      <c r="I109">
        <v>1389</v>
      </c>
      <c r="J109">
        <v>3</v>
      </c>
      <c r="K109">
        <v>4.9000000000000004</v>
      </c>
      <c r="L109">
        <v>2</v>
      </c>
      <c r="M109" t="s">
        <v>192</v>
      </c>
    </row>
    <row r="110" spans="1:13" x14ac:dyDescent="0.3">
      <c r="A110" t="s">
        <v>285</v>
      </c>
      <c r="B110" t="s">
        <v>286</v>
      </c>
      <c r="C110" t="s">
        <v>122</v>
      </c>
      <c r="D110" t="s">
        <v>159</v>
      </c>
      <c r="E110" t="s">
        <v>42</v>
      </c>
      <c r="F110" t="s">
        <v>60</v>
      </c>
      <c r="G110" t="s">
        <v>54</v>
      </c>
      <c r="H110" t="s">
        <v>29</v>
      </c>
      <c r="I110">
        <v>1836</v>
      </c>
      <c r="J110">
        <v>2</v>
      </c>
      <c r="K110">
        <v>3.3</v>
      </c>
      <c r="L110">
        <v>6</v>
      </c>
      <c r="M110" t="s">
        <v>47</v>
      </c>
    </row>
    <row r="111" spans="1:13" x14ac:dyDescent="0.3">
      <c r="A111" t="s">
        <v>287</v>
      </c>
      <c r="B111" t="s">
        <v>288</v>
      </c>
      <c r="C111" t="s">
        <v>72</v>
      </c>
      <c r="D111" t="s">
        <v>147</v>
      </c>
      <c r="E111" t="s">
        <v>52</v>
      </c>
      <c r="F111" t="s">
        <v>27</v>
      </c>
      <c r="G111" t="s">
        <v>28</v>
      </c>
      <c r="H111" t="s">
        <v>64</v>
      </c>
      <c r="I111">
        <v>3246</v>
      </c>
      <c r="J111">
        <v>2</v>
      </c>
      <c r="K111">
        <v>3.7</v>
      </c>
      <c r="L111">
        <v>8</v>
      </c>
      <c r="M111" t="s">
        <v>126</v>
      </c>
    </row>
    <row r="112" spans="1:13" x14ac:dyDescent="0.3">
      <c r="A112" t="s">
        <v>289</v>
      </c>
      <c r="B112" t="s">
        <v>290</v>
      </c>
      <c r="C112" t="s">
        <v>40</v>
      </c>
      <c r="D112" t="s">
        <v>25</v>
      </c>
      <c r="E112" t="s">
        <v>26</v>
      </c>
      <c r="F112" t="s">
        <v>83</v>
      </c>
      <c r="G112" t="s">
        <v>104</v>
      </c>
      <c r="H112" t="s">
        <v>36</v>
      </c>
      <c r="I112">
        <v>10775</v>
      </c>
      <c r="J112">
        <v>1</v>
      </c>
      <c r="K112">
        <v>4.0999999999999996</v>
      </c>
      <c r="L112">
        <v>2</v>
      </c>
      <c r="M112" t="s">
        <v>87</v>
      </c>
    </row>
    <row r="113" spans="1:13" x14ac:dyDescent="0.3">
      <c r="A113" t="s">
        <v>291</v>
      </c>
      <c r="B113" t="s">
        <v>292</v>
      </c>
      <c r="C113" t="s">
        <v>72</v>
      </c>
      <c r="D113" t="s">
        <v>86</v>
      </c>
      <c r="E113" t="s">
        <v>17</v>
      </c>
      <c r="F113" t="s">
        <v>53</v>
      </c>
      <c r="G113" t="s">
        <v>28</v>
      </c>
      <c r="H113" t="s">
        <v>36</v>
      </c>
      <c r="I113">
        <v>3424</v>
      </c>
      <c r="J113">
        <v>8</v>
      </c>
      <c r="K113">
        <v>3.2</v>
      </c>
      <c r="L113">
        <v>4</v>
      </c>
      <c r="M113" t="s">
        <v>47</v>
      </c>
    </row>
    <row r="114" spans="1:13" x14ac:dyDescent="0.3">
      <c r="A114" t="s">
        <v>293</v>
      </c>
      <c r="B114" t="s">
        <v>294</v>
      </c>
      <c r="C114" t="s">
        <v>50</v>
      </c>
      <c r="D114" t="s">
        <v>59</v>
      </c>
      <c r="E114" t="s">
        <v>26</v>
      </c>
      <c r="F114" t="s">
        <v>60</v>
      </c>
      <c r="G114" t="s">
        <v>54</v>
      </c>
      <c r="H114" t="s">
        <v>64</v>
      </c>
      <c r="I114">
        <v>13356</v>
      </c>
      <c r="J114">
        <v>7</v>
      </c>
      <c r="K114">
        <v>4.9000000000000004</v>
      </c>
      <c r="L114">
        <v>1</v>
      </c>
      <c r="M114" t="s">
        <v>21</v>
      </c>
    </row>
    <row r="115" spans="1:13" x14ac:dyDescent="0.3">
      <c r="A115" t="s">
        <v>295</v>
      </c>
      <c r="B115" t="s">
        <v>296</v>
      </c>
      <c r="C115" t="s">
        <v>72</v>
      </c>
      <c r="D115" t="s">
        <v>130</v>
      </c>
      <c r="E115" t="s">
        <v>35</v>
      </c>
      <c r="F115" t="s">
        <v>18</v>
      </c>
      <c r="G115" t="s">
        <v>104</v>
      </c>
      <c r="H115" t="s">
        <v>29</v>
      </c>
      <c r="I115">
        <v>204624</v>
      </c>
      <c r="J115">
        <v>6</v>
      </c>
      <c r="K115">
        <v>4.5999999999999996</v>
      </c>
      <c r="L115">
        <v>6</v>
      </c>
      <c r="M115" t="s">
        <v>144</v>
      </c>
    </row>
    <row r="116" spans="1:13" x14ac:dyDescent="0.3">
      <c r="A116" t="s">
        <v>297</v>
      </c>
      <c r="B116" t="s">
        <v>298</v>
      </c>
      <c r="C116" t="s">
        <v>33</v>
      </c>
      <c r="D116" t="s">
        <v>51</v>
      </c>
      <c r="E116" t="s">
        <v>52</v>
      </c>
      <c r="F116" t="s">
        <v>83</v>
      </c>
      <c r="G116" t="s">
        <v>54</v>
      </c>
      <c r="H116" t="s">
        <v>29</v>
      </c>
      <c r="I116">
        <v>7968</v>
      </c>
      <c r="J116">
        <v>8</v>
      </c>
      <c r="K116">
        <v>3.3</v>
      </c>
      <c r="L116">
        <v>4</v>
      </c>
      <c r="M116" t="s">
        <v>119</v>
      </c>
    </row>
    <row r="117" spans="1:13" x14ac:dyDescent="0.3">
      <c r="A117" t="s">
        <v>299</v>
      </c>
      <c r="B117" t="s">
        <v>300</v>
      </c>
      <c r="C117" t="s">
        <v>170</v>
      </c>
      <c r="D117" t="s">
        <v>165</v>
      </c>
      <c r="E117" t="s">
        <v>35</v>
      </c>
      <c r="F117" t="s">
        <v>53</v>
      </c>
      <c r="G117" t="s">
        <v>54</v>
      </c>
      <c r="H117" t="s">
        <v>29</v>
      </c>
      <c r="I117">
        <v>220384</v>
      </c>
      <c r="J117">
        <v>8</v>
      </c>
      <c r="K117">
        <v>4.8</v>
      </c>
      <c r="L117">
        <v>1</v>
      </c>
      <c r="M117" t="s">
        <v>55</v>
      </c>
    </row>
    <row r="118" spans="1:13" x14ac:dyDescent="0.3">
      <c r="A118" t="s">
        <v>301</v>
      </c>
      <c r="B118" t="s">
        <v>302</v>
      </c>
      <c r="C118" t="s">
        <v>75</v>
      </c>
      <c r="D118" t="s">
        <v>90</v>
      </c>
      <c r="E118" t="s">
        <v>42</v>
      </c>
      <c r="F118" t="s">
        <v>27</v>
      </c>
      <c r="G118" t="s">
        <v>28</v>
      </c>
      <c r="H118" t="s">
        <v>36</v>
      </c>
      <c r="I118">
        <v>33425</v>
      </c>
      <c r="J118">
        <v>7</v>
      </c>
      <c r="K118">
        <v>4.9000000000000004</v>
      </c>
      <c r="L118">
        <v>5</v>
      </c>
      <c r="M118" t="s">
        <v>47</v>
      </c>
    </row>
    <row r="119" spans="1:13" x14ac:dyDescent="0.3">
      <c r="A119" t="s">
        <v>303</v>
      </c>
      <c r="B119" t="s">
        <v>304</v>
      </c>
      <c r="C119" t="s">
        <v>45</v>
      </c>
      <c r="D119" t="s">
        <v>159</v>
      </c>
      <c r="E119" t="s">
        <v>42</v>
      </c>
      <c r="F119" t="s">
        <v>27</v>
      </c>
      <c r="G119" t="s">
        <v>28</v>
      </c>
      <c r="H119" t="s">
        <v>20</v>
      </c>
      <c r="I119">
        <v>16930</v>
      </c>
      <c r="J119">
        <v>5</v>
      </c>
      <c r="K119">
        <v>3.7</v>
      </c>
      <c r="L119">
        <v>8</v>
      </c>
      <c r="M119" t="s">
        <v>30</v>
      </c>
    </row>
    <row r="120" spans="1:13" x14ac:dyDescent="0.3">
      <c r="A120" t="s">
        <v>305</v>
      </c>
      <c r="B120" t="s">
        <v>306</v>
      </c>
      <c r="C120" t="s">
        <v>75</v>
      </c>
      <c r="D120" t="s">
        <v>46</v>
      </c>
      <c r="E120" t="s">
        <v>42</v>
      </c>
      <c r="F120" t="s">
        <v>27</v>
      </c>
      <c r="G120" t="s">
        <v>28</v>
      </c>
      <c r="H120" t="s">
        <v>29</v>
      </c>
      <c r="I120">
        <v>4263</v>
      </c>
      <c r="J120">
        <v>1</v>
      </c>
      <c r="K120">
        <v>4.4000000000000004</v>
      </c>
      <c r="L120">
        <v>1</v>
      </c>
      <c r="M120" t="s">
        <v>47</v>
      </c>
    </row>
    <row r="121" spans="1:13" x14ac:dyDescent="0.3">
      <c r="A121" t="s">
        <v>307</v>
      </c>
      <c r="B121" t="s">
        <v>308</v>
      </c>
      <c r="C121" t="s">
        <v>129</v>
      </c>
      <c r="D121" t="s">
        <v>79</v>
      </c>
      <c r="E121" t="s">
        <v>26</v>
      </c>
      <c r="F121" t="s">
        <v>60</v>
      </c>
      <c r="G121" t="s">
        <v>54</v>
      </c>
      <c r="H121" t="s">
        <v>20</v>
      </c>
      <c r="I121">
        <v>5703</v>
      </c>
      <c r="J121">
        <v>3</v>
      </c>
      <c r="K121">
        <v>3.6</v>
      </c>
      <c r="L121">
        <v>6</v>
      </c>
      <c r="M121" t="s">
        <v>144</v>
      </c>
    </row>
    <row r="122" spans="1:13" x14ac:dyDescent="0.3">
      <c r="A122" t="s">
        <v>309</v>
      </c>
      <c r="B122" t="s">
        <v>310</v>
      </c>
      <c r="C122" t="s">
        <v>122</v>
      </c>
      <c r="D122" t="s">
        <v>46</v>
      </c>
      <c r="E122" t="s">
        <v>42</v>
      </c>
      <c r="F122" t="s">
        <v>18</v>
      </c>
      <c r="G122" t="s">
        <v>54</v>
      </c>
      <c r="H122" t="s">
        <v>20</v>
      </c>
      <c r="I122">
        <v>29648</v>
      </c>
      <c r="J122">
        <v>8</v>
      </c>
      <c r="K122">
        <v>3.8</v>
      </c>
      <c r="L122">
        <v>5</v>
      </c>
      <c r="M122" t="s">
        <v>55</v>
      </c>
    </row>
    <row r="123" spans="1:13" x14ac:dyDescent="0.3">
      <c r="A123" t="s">
        <v>311</v>
      </c>
      <c r="B123" t="s">
        <v>23</v>
      </c>
      <c r="C123" t="s">
        <v>179</v>
      </c>
      <c r="D123" t="s">
        <v>90</v>
      </c>
      <c r="E123" t="s">
        <v>42</v>
      </c>
      <c r="F123" t="s">
        <v>18</v>
      </c>
      <c r="G123" t="s">
        <v>19</v>
      </c>
      <c r="H123" t="s">
        <v>36</v>
      </c>
      <c r="I123">
        <v>4914</v>
      </c>
      <c r="J123">
        <v>2</v>
      </c>
      <c r="K123">
        <v>3.7</v>
      </c>
      <c r="L123">
        <v>8</v>
      </c>
      <c r="M123" t="s">
        <v>30</v>
      </c>
    </row>
    <row r="124" spans="1:13" x14ac:dyDescent="0.3">
      <c r="A124" t="s">
        <v>312</v>
      </c>
      <c r="B124" t="s">
        <v>313</v>
      </c>
      <c r="C124" t="s">
        <v>24</v>
      </c>
      <c r="D124" t="s">
        <v>159</v>
      </c>
      <c r="E124" t="s">
        <v>42</v>
      </c>
      <c r="F124" t="s">
        <v>27</v>
      </c>
      <c r="G124" t="s">
        <v>19</v>
      </c>
      <c r="H124" t="s">
        <v>29</v>
      </c>
      <c r="I124">
        <v>2462</v>
      </c>
      <c r="J124">
        <v>2</v>
      </c>
      <c r="K124">
        <v>4.2</v>
      </c>
      <c r="L124">
        <v>5</v>
      </c>
      <c r="M124" t="s">
        <v>47</v>
      </c>
    </row>
    <row r="125" spans="1:13" x14ac:dyDescent="0.3">
      <c r="A125" t="s">
        <v>314</v>
      </c>
      <c r="B125" t="s">
        <v>203</v>
      </c>
      <c r="C125" t="s">
        <v>146</v>
      </c>
      <c r="D125" t="s">
        <v>79</v>
      </c>
      <c r="E125" t="s">
        <v>26</v>
      </c>
      <c r="F125" t="s">
        <v>100</v>
      </c>
      <c r="G125" t="s">
        <v>19</v>
      </c>
      <c r="H125" t="s">
        <v>36</v>
      </c>
      <c r="I125">
        <v>26848</v>
      </c>
      <c r="J125">
        <v>4</v>
      </c>
      <c r="K125">
        <v>4.2</v>
      </c>
      <c r="L125">
        <v>6</v>
      </c>
      <c r="M125" t="s">
        <v>80</v>
      </c>
    </row>
    <row r="126" spans="1:13" x14ac:dyDescent="0.3">
      <c r="A126" t="s">
        <v>315</v>
      </c>
      <c r="B126" t="s">
        <v>300</v>
      </c>
      <c r="C126" t="s">
        <v>75</v>
      </c>
      <c r="D126" t="s">
        <v>218</v>
      </c>
      <c r="E126" t="s">
        <v>17</v>
      </c>
      <c r="F126" t="s">
        <v>60</v>
      </c>
      <c r="G126" t="s">
        <v>28</v>
      </c>
      <c r="H126" t="s">
        <v>29</v>
      </c>
      <c r="I126">
        <v>11008</v>
      </c>
      <c r="J126">
        <v>8</v>
      </c>
      <c r="K126">
        <v>3.4</v>
      </c>
      <c r="L126">
        <v>6</v>
      </c>
      <c r="M126" t="s">
        <v>55</v>
      </c>
    </row>
    <row r="127" spans="1:13" x14ac:dyDescent="0.3">
      <c r="A127" t="s">
        <v>316</v>
      </c>
      <c r="B127" t="s">
        <v>261</v>
      </c>
      <c r="C127" t="s">
        <v>170</v>
      </c>
      <c r="D127" t="s">
        <v>63</v>
      </c>
      <c r="E127" t="s">
        <v>52</v>
      </c>
      <c r="F127" t="s">
        <v>27</v>
      </c>
      <c r="G127" t="s">
        <v>19</v>
      </c>
      <c r="H127" t="s">
        <v>29</v>
      </c>
      <c r="I127">
        <v>3332</v>
      </c>
      <c r="J127">
        <v>7</v>
      </c>
      <c r="K127">
        <v>3.7</v>
      </c>
      <c r="L127">
        <v>3</v>
      </c>
      <c r="M127" t="s">
        <v>80</v>
      </c>
    </row>
    <row r="128" spans="1:13" x14ac:dyDescent="0.3">
      <c r="A128" t="s">
        <v>317</v>
      </c>
      <c r="B128" t="s">
        <v>290</v>
      </c>
      <c r="C128" t="s">
        <v>112</v>
      </c>
      <c r="D128" t="s">
        <v>59</v>
      </c>
      <c r="E128" t="s">
        <v>26</v>
      </c>
      <c r="F128" t="s">
        <v>27</v>
      </c>
      <c r="G128" t="s">
        <v>19</v>
      </c>
      <c r="H128" t="s">
        <v>20</v>
      </c>
      <c r="I128">
        <v>28805</v>
      </c>
      <c r="J128">
        <v>5</v>
      </c>
      <c r="K128">
        <v>4.3</v>
      </c>
      <c r="L128">
        <v>2</v>
      </c>
      <c r="M128" t="s">
        <v>87</v>
      </c>
    </row>
    <row r="129" spans="1:13" x14ac:dyDescent="0.3">
      <c r="A129" t="s">
        <v>318</v>
      </c>
      <c r="B129" t="s">
        <v>319</v>
      </c>
      <c r="C129" t="s">
        <v>58</v>
      </c>
      <c r="D129" t="s">
        <v>109</v>
      </c>
      <c r="E129" t="s">
        <v>52</v>
      </c>
      <c r="F129" t="s">
        <v>60</v>
      </c>
      <c r="G129" t="s">
        <v>54</v>
      </c>
      <c r="H129" t="s">
        <v>64</v>
      </c>
      <c r="I129">
        <v>582</v>
      </c>
      <c r="J129">
        <v>1</v>
      </c>
      <c r="K129">
        <v>3.7</v>
      </c>
      <c r="L129">
        <v>4</v>
      </c>
      <c r="M129" t="s">
        <v>30</v>
      </c>
    </row>
    <row r="130" spans="1:13" x14ac:dyDescent="0.3">
      <c r="A130" t="s">
        <v>320</v>
      </c>
      <c r="B130" t="s">
        <v>321</v>
      </c>
      <c r="C130" t="s">
        <v>24</v>
      </c>
      <c r="D130" t="s">
        <v>59</v>
      </c>
      <c r="E130" t="s">
        <v>26</v>
      </c>
      <c r="F130" t="s">
        <v>60</v>
      </c>
      <c r="G130" t="s">
        <v>28</v>
      </c>
      <c r="H130" t="s">
        <v>64</v>
      </c>
      <c r="I130">
        <v>41150</v>
      </c>
      <c r="J130">
        <v>5</v>
      </c>
      <c r="K130">
        <v>3.3</v>
      </c>
      <c r="L130">
        <v>1</v>
      </c>
      <c r="M130" t="s">
        <v>192</v>
      </c>
    </row>
    <row r="131" spans="1:13" x14ac:dyDescent="0.3">
      <c r="A131" t="s">
        <v>322</v>
      </c>
      <c r="B131" t="s">
        <v>207</v>
      </c>
      <c r="C131" t="s">
        <v>170</v>
      </c>
      <c r="D131" t="s">
        <v>159</v>
      </c>
      <c r="E131" t="s">
        <v>42</v>
      </c>
      <c r="F131" t="s">
        <v>83</v>
      </c>
      <c r="G131" t="s">
        <v>28</v>
      </c>
      <c r="H131" t="s">
        <v>36</v>
      </c>
      <c r="I131">
        <v>11898</v>
      </c>
      <c r="J131">
        <v>3</v>
      </c>
      <c r="K131">
        <v>4.5999999999999996</v>
      </c>
      <c r="L131">
        <v>2</v>
      </c>
      <c r="M131" t="s">
        <v>126</v>
      </c>
    </row>
    <row r="132" spans="1:13" x14ac:dyDescent="0.3">
      <c r="A132" t="s">
        <v>323</v>
      </c>
      <c r="B132" t="s">
        <v>324</v>
      </c>
      <c r="C132" t="s">
        <v>170</v>
      </c>
      <c r="D132" t="s">
        <v>97</v>
      </c>
      <c r="E132" t="s">
        <v>35</v>
      </c>
      <c r="F132" t="s">
        <v>100</v>
      </c>
      <c r="G132" t="s">
        <v>104</v>
      </c>
      <c r="H132" t="s">
        <v>20</v>
      </c>
      <c r="I132">
        <v>121614</v>
      </c>
      <c r="J132">
        <v>3</v>
      </c>
      <c r="K132">
        <v>4</v>
      </c>
      <c r="L132">
        <v>3</v>
      </c>
      <c r="M132" t="s">
        <v>21</v>
      </c>
    </row>
    <row r="133" spans="1:13" x14ac:dyDescent="0.3">
      <c r="A133" t="s">
        <v>325</v>
      </c>
      <c r="B133" t="s">
        <v>326</v>
      </c>
      <c r="C133" t="s">
        <v>122</v>
      </c>
      <c r="D133" t="s">
        <v>51</v>
      </c>
      <c r="E133" t="s">
        <v>52</v>
      </c>
      <c r="F133" t="s">
        <v>83</v>
      </c>
      <c r="G133" t="s">
        <v>104</v>
      </c>
      <c r="H133" t="s">
        <v>36</v>
      </c>
      <c r="I133">
        <v>12104</v>
      </c>
      <c r="J133">
        <v>8</v>
      </c>
      <c r="K133">
        <v>4.9000000000000004</v>
      </c>
      <c r="L133">
        <v>8</v>
      </c>
      <c r="M133" t="s">
        <v>65</v>
      </c>
    </row>
    <row r="134" spans="1:13" x14ac:dyDescent="0.3">
      <c r="A134" t="s">
        <v>327</v>
      </c>
      <c r="B134" t="s">
        <v>211</v>
      </c>
      <c r="C134" t="s">
        <v>129</v>
      </c>
      <c r="D134" t="s">
        <v>218</v>
      </c>
      <c r="E134" t="s">
        <v>17</v>
      </c>
      <c r="F134" t="s">
        <v>60</v>
      </c>
      <c r="G134" t="s">
        <v>104</v>
      </c>
      <c r="H134" t="s">
        <v>36</v>
      </c>
      <c r="I134">
        <v>7080</v>
      </c>
      <c r="J134">
        <v>8</v>
      </c>
      <c r="K134">
        <v>3.4</v>
      </c>
      <c r="L134">
        <v>5</v>
      </c>
      <c r="M134" t="s">
        <v>65</v>
      </c>
    </row>
    <row r="135" spans="1:13" x14ac:dyDescent="0.3">
      <c r="A135" t="s">
        <v>328</v>
      </c>
      <c r="B135" t="s">
        <v>102</v>
      </c>
      <c r="C135" t="s">
        <v>45</v>
      </c>
      <c r="D135" t="s">
        <v>41</v>
      </c>
      <c r="E135" t="s">
        <v>42</v>
      </c>
      <c r="F135" t="s">
        <v>27</v>
      </c>
      <c r="G135" t="s">
        <v>54</v>
      </c>
      <c r="H135" t="s">
        <v>20</v>
      </c>
      <c r="I135">
        <v>15456</v>
      </c>
      <c r="J135">
        <v>4</v>
      </c>
      <c r="K135">
        <v>4</v>
      </c>
      <c r="L135">
        <v>5</v>
      </c>
      <c r="M135" t="s">
        <v>30</v>
      </c>
    </row>
    <row r="136" spans="1:13" x14ac:dyDescent="0.3">
      <c r="A136" t="s">
        <v>329</v>
      </c>
      <c r="B136" t="s">
        <v>330</v>
      </c>
      <c r="C136" t="s">
        <v>33</v>
      </c>
      <c r="D136" t="s">
        <v>116</v>
      </c>
      <c r="E136" t="s">
        <v>17</v>
      </c>
      <c r="F136" t="s">
        <v>18</v>
      </c>
      <c r="G136" t="s">
        <v>19</v>
      </c>
      <c r="H136" t="s">
        <v>29</v>
      </c>
      <c r="I136">
        <v>8652</v>
      </c>
      <c r="J136">
        <v>6</v>
      </c>
      <c r="K136">
        <v>4.0999999999999996</v>
      </c>
      <c r="L136">
        <v>1</v>
      </c>
      <c r="M136" t="s">
        <v>55</v>
      </c>
    </row>
    <row r="137" spans="1:13" x14ac:dyDescent="0.3">
      <c r="A137" t="s">
        <v>331</v>
      </c>
      <c r="B137" t="s">
        <v>332</v>
      </c>
      <c r="C137" t="s">
        <v>58</v>
      </c>
      <c r="D137" t="s">
        <v>90</v>
      </c>
      <c r="E137" t="s">
        <v>42</v>
      </c>
      <c r="F137" t="s">
        <v>53</v>
      </c>
      <c r="G137" t="s">
        <v>28</v>
      </c>
      <c r="H137" t="s">
        <v>29</v>
      </c>
      <c r="I137">
        <v>11757</v>
      </c>
      <c r="J137">
        <v>3</v>
      </c>
      <c r="K137">
        <v>4.5</v>
      </c>
      <c r="L137">
        <v>5</v>
      </c>
      <c r="M137" t="s">
        <v>80</v>
      </c>
    </row>
    <row r="138" spans="1:13" x14ac:dyDescent="0.3">
      <c r="A138" t="s">
        <v>333</v>
      </c>
      <c r="B138" t="s">
        <v>334</v>
      </c>
      <c r="C138" t="s">
        <v>45</v>
      </c>
      <c r="D138" t="s">
        <v>41</v>
      </c>
      <c r="E138" t="s">
        <v>42</v>
      </c>
      <c r="F138" t="s">
        <v>60</v>
      </c>
      <c r="G138" t="s">
        <v>104</v>
      </c>
      <c r="H138" t="s">
        <v>20</v>
      </c>
      <c r="I138">
        <v>32886</v>
      </c>
      <c r="J138">
        <v>6</v>
      </c>
      <c r="K138">
        <v>4.5999999999999996</v>
      </c>
      <c r="L138">
        <v>1</v>
      </c>
      <c r="M138" t="s">
        <v>55</v>
      </c>
    </row>
    <row r="139" spans="1:13" x14ac:dyDescent="0.3">
      <c r="A139" t="s">
        <v>335</v>
      </c>
      <c r="B139" t="s">
        <v>336</v>
      </c>
      <c r="C139" t="s">
        <v>170</v>
      </c>
      <c r="D139" t="s">
        <v>116</v>
      </c>
      <c r="E139" t="s">
        <v>17</v>
      </c>
      <c r="F139" t="s">
        <v>60</v>
      </c>
      <c r="G139" t="s">
        <v>19</v>
      </c>
      <c r="H139" t="s">
        <v>64</v>
      </c>
      <c r="I139">
        <v>4214</v>
      </c>
      <c r="J139">
        <v>7</v>
      </c>
      <c r="K139">
        <v>3.5</v>
      </c>
      <c r="L139">
        <v>8</v>
      </c>
      <c r="M139" t="s">
        <v>80</v>
      </c>
    </row>
    <row r="140" spans="1:13" x14ac:dyDescent="0.3">
      <c r="A140" t="s">
        <v>337</v>
      </c>
      <c r="B140" t="s">
        <v>271</v>
      </c>
      <c r="C140" t="s">
        <v>112</v>
      </c>
      <c r="D140" t="s">
        <v>51</v>
      </c>
      <c r="E140" t="s">
        <v>52</v>
      </c>
      <c r="F140" t="s">
        <v>60</v>
      </c>
      <c r="G140" t="s">
        <v>104</v>
      </c>
      <c r="H140" t="s">
        <v>20</v>
      </c>
      <c r="I140">
        <v>4040</v>
      </c>
      <c r="J140">
        <v>8</v>
      </c>
      <c r="K140">
        <v>4.2</v>
      </c>
      <c r="L140">
        <v>8</v>
      </c>
      <c r="M140" t="s">
        <v>65</v>
      </c>
    </row>
    <row r="141" spans="1:13" x14ac:dyDescent="0.3">
      <c r="A141" t="s">
        <v>338</v>
      </c>
      <c r="B141" t="s">
        <v>304</v>
      </c>
      <c r="C141" t="s">
        <v>78</v>
      </c>
      <c r="D141" t="s">
        <v>46</v>
      </c>
      <c r="E141" t="s">
        <v>42</v>
      </c>
      <c r="F141" t="s">
        <v>53</v>
      </c>
      <c r="G141" t="s">
        <v>19</v>
      </c>
      <c r="H141" t="s">
        <v>29</v>
      </c>
      <c r="I141">
        <v>27996</v>
      </c>
      <c r="J141">
        <v>6</v>
      </c>
      <c r="K141">
        <v>4.9000000000000004</v>
      </c>
      <c r="L141">
        <v>5</v>
      </c>
      <c r="M141" t="s">
        <v>30</v>
      </c>
    </row>
    <row r="142" spans="1:13" x14ac:dyDescent="0.3">
      <c r="A142" t="s">
        <v>339</v>
      </c>
      <c r="B142" t="s">
        <v>118</v>
      </c>
      <c r="C142" t="s">
        <v>50</v>
      </c>
      <c r="D142" t="s">
        <v>34</v>
      </c>
      <c r="E142" t="s">
        <v>35</v>
      </c>
      <c r="F142" t="s">
        <v>53</v>
      </c>
      <c r="G142" t="s">
        <v>19</v>
      </c>
      <c r="H142" t="s">
        <v>29</v>
      </c>
      <c r="I142">
        <v>385744</v>
      </c>
      <c r="J142">
        <v>8</v>
      </c>
      <c r="K142">
        <v>3.7</v>
      </c>
      <c r="L142">
        <v>7</v>
      </c>
      <c r="M142" t="s">
        <v>119</v>
      </c>
    </row>
    <row r="143" spans="1:13" x14ac:dyDescent="0.3">
      <c r="A143" t="s">
        <v>340</v>
      </c>
      <c r="B143" t="s">
        <v>290</v>
      </c>
      <c r="C143" t="s">
        <v>78</v>
      </c>
      <c r="D143" t="s">
        <v>218</v>
      </c>
      <c r="E143" t="s">
        <v>17</v>
      </c>
      <c r="F143" t="s">
        <v>27</v>
      </c>
      <c r="G143" t="s">
        <v>104</v>
      </c>
      <c r="H143" t="s">
        <v>20</v>
      </c>
      <c r="I143">
        <v>7230</v>
      </c>
      <c r="J143">
        <v>6</v>
      </c>
      <c r="K143">
        <v>4.7</v>
      </c>
      <c r="L143">
        <v>5</v>
      </c>
      <c r="M143" t="s">
        <v>87</v>
      </c>
    </row>
    <row r="144" spans="1:13" x14ac:dyDescent="0.3">
      <c r="A144" t="s">
        <v>341</v>
      </c>
      <c r="B144" t="s">
        <v>342</v>
      </c>
      <c r="C144" t="s">
        <v>170</v>
      </c>
      <c r="D144" t="s">
        <v>86</v>
      </c>
      <c r="E144" t="s">
        <v>17</v>
      </c>
      <c r="F144" t="s">
        <v>27</v>
      </c>
      <c r="G144" t="s">
        <v>28</v>
      </c>
      <c r="H144" t="s">
        <v>36</v>
      </c>
      <c r="I144">
        <v>1671</v>
      </c>
      <c r="J144">
        <v>1</v>
      </c>
      <c r="K144">
        <v>3.3</v>
      </c>
      <c r="L144">
        <v>7</v>
      </c>
      <c r="M144" t="s">
        <v>21</v>
      </c>
    </row>
    <row r="145" spans="1:13" x14ac:dyDescent="0.3">
      <c r="A145" t="s">
        <v>343</v>
      </c>
      <c r="B145" t="s">
        <v>344</v>
      </c>
      <c r="C145" t="s">
        <v>75</v>
      </c>
      <c r="D145" t="s">
        <v>147</v>
      </c>
      <c r="E145" t="s">
        <v>52</v>
      </c>
      <c r="F145" t="s">
        <v>27</v>
      </c>
      <c r="G145" t="s">
        <v>19</v>
      </c>
      <c r="H145" t="s">
        <v>36</v>
      </c>
      <c r="I145">
        <v>6594</v>
      </c>
      <c r="J145">
        <v>3</v>
      </c>
      <c r="K145">
        <v>3.8</v>
      </c>
      <c r="L145">
        <v>1</v>
      </c>
      <c r="M145" t="s">
        <v>30</v>
      </c>
    </row>
    <row r="146" spans="1:13" x14ac:dyDescent="0.3">
      <c r="A146" t="s">
        <v>345</v>
      </c>
      <c r="B146" t="s">
        <v>346</v>
      </c>
      <c r="C146" t="s">
        <v>170</v>
      </c>
      <c r="D146" t="s">
        <v>51</v>
      </c>
      <c r="E146" t="s">
        <v>52</v>
      </c>
      <c r="F146" t="s">
        <v>53</v>
      </c>
      <c r="G146" t="s">
        <v>28</v>
      </c>
      <c r="H146" t="s">
        <v>64</v>
      </c>
      <c r="I146">
        <v>2279</v>
      </c>
      <c r="J146">
        <v>1</v>
      </c>
      <c r="K146">
        <v>3.2</v>
      </c>
      <c r="L146">
        <v>2</v>
      </c>
      <c r="M146" t="s">
        <v>37</v>
      </c>
    </row>
    <row r="147" spans="1:13" x14ac:dyDescent="0.3">
      <c r="A147" t="s">
        <v>347</v>
      </c>
      <c r="B147" t="s">
        <v>348</v>
      </c>
      <c r="C147" t="s">
        <v>15</v>
      </c>
      <c r="D147" t="s">
        <v>51</v>
      </c>
      <c r="E147" t="s">
        <v>52</v>
      </c>
      <c r="F147" t="s">
        <v>27</v>
      </c>
      <c r="G147" t="s">
        <v>104</v>
      </c>
      <c r="H147" t="s">
        <v>29</v>
      </c>
      <c r="I147">
        <v>6416</v>
      </c>
      <c r="J147">
        <v>4</v>
      </c>
      <c r="K147">
        <v>3.7</v>
      </c>
      <c r="L147">
        <v>3</v>
      </c>
      <c r="M147" t="s">
        <v>21</v>
      </c>
    </row>
    <row r="148" spans="1:13" x14ac:dyDescent="0.3">
      <c r="A148" t="s">
        <v>349</v>
      </c>
      <c r="B148" t="s">
        <v>350</v>
      </c>
      <c r="C148" t="s">
        <v>72</v>
      </c>
      <c r="D148" t="s">
        <v>79</v>
      </c>
      <c r="E148" t="s">
        <v>26</v>
      </c>
      <c r="F148" t="s">
        <v>60</v>
      </c>
      <c r="G148" t="s">
        <v>104</v>
      </c>
      <c r="H148" t="s">
        <v>20</v>
      </c>
      <c r="I148">
        <v>51569</v>
      </c>
      <c r="J148">
        <v>7</v>
      </c>
      <c r="K148">
        <v>4.4000000000000004</v>
      </c>
      <c r="L148">
        <v>3</v>
      </c>
      <c r="M148" t="s">
        <v>80</v>
      </c>
    </row>
    <row r="149" spans="1:13" x14ac:dyDescent="0.3">
      <c r="A149" t="s">
        <v>351</v>
      </c>
      <c r="B149" t="s">
        <v>352</v>
      </c>
      <c r="C149" t="s">
        <v>103</v>
      </c>
      <c r="D149" t="s">
        <v>218</v>
      </c>
      <c r="E149" t="s">
        <v>17</v>
      </c>
      <c r="F149" t="s">
        <v>27</v>
      </c>
      <c r="G149" t="s">
        <v>104</v>
      </c>
      <c r="H149" t="s">
        <v>20</v>
      </c>
      <c r="I149">
        <v>4856</v>
      </c>
      <c r="J149">
        <v>4</v>
      </c>
      <c r="K149">
        <v>4.5</v>
      </c>
      <c r="L149">
        <v>1</v>
      </c>
      <c r="M149" t="s">
        <v>55</v>
      </c>
    </row>
    <row r="150" spans="1:13" x14ac:dyDescent="0.3">
      <c r="A150" t="s">
        <v>353</v>
      </c>
      <c r="B150" t="s">
        <v>354</v>
      </c>
      <c r="C150" t="s">
        <v>129</v>
      </c>
      <c r="D150" t="s">
        <v>16</v>
      </c>
      <c r="E150" t="s">
        <v>17</v>
      </c>
      <c r="F150" t="s">
        <v>100</v>
      </c>
      <c r="G150" t="s">
        <v>19</v>
      </c>
      <c r="H150" t="s">
        <v>20</v>
      </c>
      <c r="I150">
        <v>3135</v>
      </c>
      <c r="J150">
        <v>5</v>
      </c>
      <c r="K150">
        <v>4.3</v>
      </c>
      <c r="L150">
        <v>5</v>
      </c>
      <c r="M150" t="s">
        <v>47</v>
      </c>
    </row>
    <row r="151" spans="1:13" x14ac:dyDescent="0.3">
      <c r="A151" t="s">
        <v>355</v>
      </c>
      <c r="B151" t="s">
        <v>356</v>
      </c>
      <c r="C151" t="s">
        <v>122</v>
      </c>
      <c r="D151" t="s">
        <v>51</v>
      </c>
      <c r="E151" t="s">
        <v>52</v>
      </c>
      <c r="F151" t="s">
        <v>27</v>
      </c>
      <c r="G151" t="s">
        <v>54</v>
      </c>
      <c r="H151" t="s">
        <v>64</v>
      </c>
      <c r="I151">
        <v>14240</v>
      </c>
      <c r="J151">
        <v>8</v>
      </c>
      <c r="K151">
        <v>4.5999999999999996</v>
      </c>
      <c r="L151">
        <v>4</v>
      </c>
      <c r="M151" t="s">
        <v>80</v>
      </c>
    </row>
    <row r="152" spans="1:13" x14ac:dyDescent="0.3">
      <c r="A152" t="s">
        <v>357</v>
      </c>
      <c r="B152" t="s">
        <v>263</v>
      </c>
      <c r="C152" t="s">
        <v>170</v>
      </c>
      <c r="D152" t="s">
        <v>59</v>
      </c>
      <c r="E152" t="s">
        <v>26</v>
      </c>
      <c r="F152" t="s">
        <v>100</v>
      </c>
      <c r="G152" t="s">
        <v>28</v>
      </c>
      <c r="H152" t="s">
        <v>36</v>
      </c>
      <c r="I152">
        <v>20366</v>
      </c>
      <c r="J152">
        <v>2</v>
      </c>
      <c r="K152">
        <v>4.2</v>
      </c>
      <c r="L152">
        <v>3</v>
      </c>
      <c r="M152" t="s">
        <v>87</v>
      </c>
    </row>
    <row r="153" spans="1:13" x14ac:dyDescent="0.3">
      <c r="A153" t="s">
        <v>358</v>
      </c>
      <c r="B153" t="s">
        <v>359</v>
      </c>
      <c r="C153" t="s">
        <v>78</v>
      </c>
      <c r="D153" t="s">
        <v>51</v>
      </c>
      <c r="E153" t="s">
        <v>52</v>
      </c>
      <c r="F153" t="s">
        <v>60</v>
      </c>
      <c r="G153" t="s">
        <v>104</v>
      </c>
      <c r="H153" t="s">
        <v>36</v>
      </c>
      <c r="I153">
        <v>16856</v>
      </c>
      <c r="J153">
        <v>8</v>
      </c>
      <c r="K153">
        <v>4</v>
      </c>
      <c r="L153">
        <v>1</v>
      </c>
      <c r="M153" t="s">
        <v>87</v>
      </c>
    </row>
    <row r="154" spans="1:13" x14ac:dyDescent="0.3">
      <c r="A154" t="s">
        <v>360</v>
      </c>
      <c r="B154" t="s">
        <v>361</v>
      </c>
      <c r="C154" t="s">
        <v>75</v>
      </c>
      <c r="D154" t="s">
        <v>46</v>
      </c>
      <c r="E154" t="s">
        <v>42</v>
      </c>
      <c r="F154" t="s">
        <v>60</v>
      </c>
      <c r="G154" t="s">
        <v>54</v>
      </c>
      <c r="H154" t="s">
        <v>29</v>
      </c>
      <c r="I154">
        <v>16680</v>
      </c>
      <c r="J154">
        <v>4</v>
      </c>
      <c r="K154">
        <v>4.5</v>
      </c>
      <c r="L154">
        <v>1</v>
      </c>
      <c r="M154" t="s">
        <v>144</v>
      </c>
    </row>
    <row r="155" spans="1:13" x14ac:dyDescent="0.3">
      <c r="A155" t="s">
        <v>362</v>
      </c>
      <c r="B155" t="s">
        <v>363</v>
      </c>
      <c r="C155" t="s">
        <v>129</v>
      </c>
      <c r="D155" t="s">
        <v>159</v>
      </c>
      <c r="E155" t="s">
        <v>42</v>
      </c>
      <c r="F155" t="s">
        <v>18</v>
      </c>
      <c r="G155" t="s">
        <v>19</v>
      </c>
      <c r="H155" t="s">
        <v>64</v>
      </c>
      <c r="I155">
        <v>26544</v>
      </c>
      <c r="J155">
        <v>7</v>
      </c>
      <c r="K155">
        <v>3.3</v>
      </c>
      <c r="L155">
        <v>3</v>
      </c>
      <c r="M155" t="s">
        <v>80</v>
      </c>
    </row>
    <row r="156" spans="1:13" x14ac:dyDescent="0.3">
      <c r="A156" t="s">
        <v>364</v>
      </c>
      <c r="B156" t="s">
        <v>365</v>
      </c>
      <c r="C156" t="s">
        <v>122</v>
      </c>
      <c r="D156" t="s">
        <v>79</v>
      </c>
      <c r="E156" t="s">
        <v>26</v>
      </c>
      <c r="F156" t="s">
        <v>60</v>
      </c>
      <c r="G156" t="s">
        <v>104</v>
      </c>
      <c r="H156" t="s">
        <v>20</v>
      </c>
      <c r="I156">
        <v>7748</v>
      </c>
      <c r="J156">
        <v>1</v>
      </c>
      <c r="K156">
        <v>4.2</v>
      </c>
      <c r="L156">
        <v>4</v>
      </c>
      <c r="M156" t="s">
        <v>37</v>
      </c>
    </row>
    <row r="157" spans="1:13" x14ac:dyDescent="0.3">
      <c r="A157" t="s">
        <v>366</v>
      </c>
      <c r="B157" t="s">
        <v>367</v>
      </c>
      <c r="C157" t="s">
        <v>45</v>
      </c>
      <c r="D157" t="s">
        <v>34</v>
      </c>
      <c r="E157" t="s">
        <v>35</v>
      </c>
      <c r="F157" t="s">
        <v>18</v>
      </c>
      <c r="G157" t="s">
        <v>28</v>
      </c>
      <c r="H157" t="s">
        <v>36</v>
      </c>
      <c r="I157">
        <v>83099</v>
      </c>
      <c r="J157">
        <v>1</v>
      </c>
      <c r="K157">
        <v>3.6</v>
      </c>
      <c r="L157">
        <v>2</v>
      </c>
      <c r="M157" t="s">
        <v>87</v>
      </c>
    </row>
    <row r="158" spans="1:13" x14ac:dyDescent="0.3">
      <c r="A158" t="s">
        <v>368</v>
      </c>
      <c r="B158" t="s">
        <v>369</v>
      </c>
      <c r="C158" t="s">
        <v>122</v>
      </c>
      <c r="D158" t="s">
        <v>147</v>
      </c>
      <c r="E158" t="s">
        <v>52</v>
      </c>
      <c r="F158" t="s">
        <v>27</v>
      </c>
      <c r="G158" t="s">
        <v>104</v>
      </c>
      <c r="H158" t="s">
        <v>29</v>
      </c>
      <c r="I158">
        <v>19680</v>
      </c>
      <c r="J158">
        <v>8</v>
      </c>
      <c r="K158">
        <v>4.0999999999999996</v>
      </c>
      <c r="L158">
        <v>5</v>
      </c>
      <c r="M158" t="s">
        <v>55</v>
      </c>
    </row>
    <row r="159" spans="1:13" x14ac:dyDescent="0.3">
      <c r="A159" t="s">
        <v>370</v>
      </c>
      <c r="B159" t="s">
        <v>371</v>
      </c>
      <c r="C159" t="s">
        <v>133</v>
      </c>
      <c r="D159" t="s">
        <v>109</v>
      </c>
      <c r="E159" t="s">
        <v>52</v>
      </c>
      <c r="F159" t="s">
        <v>100</v>
      </c>
      <c r="G159" t="s">
        <v>28</v>
      </c>
      <c r="H159" t="s">
        <v>36</v>
      </c>
      <c r="I159">
        <v>5920</v>
      </c>
      <c r="J159">
        <v>4</v>
      </c>
      <c r="K159">
        <v>4.9000000000000004</v>
      </c>
      <c r="L159">
        <v>3</v>
      </c>
      <c r="M159" t="s">
        <v>80</v>
      </c>
    </row>
    <row r="160" spans="1:13" x14ac:dyDescent="0.3">
      <c r="A160" t="s">
        <v>372</v>
      </c>
      <c r="B160" t="s">
        <v>373</v>
      </c>
      <c r="C160" t="s">
        <v>122</v>
      </c>
      <c r="D160" t="s">
        <v>97</v>
      </c>
      <c r="E160" t="s">
        <v>35</v>
      </c>
      <c r="F160" t="s">
        <v>83</v>
      </c>
      <c r="G160" t="s">
        <v>104</v>
      </c>
      <c r="H160" t="s">
        <v>20</v>
      </c>
      <c r="I160">
        <v>336066</v>
      </c>
      <c r="J160">
        <v>6</v>
      </c>
      <c r="K160">
        <v>3.9</v>
      </c>
      <c r="L160">
        <v>8</v>
      </c>
      <c r="M160" t="s">
        <v>65</v>
      </c>
    </row>
    <row r="161" spans="1:13" x14ac:dyDescent="0.3">
      <c r="A161" t="s">
        <v>374</v>
      </c>
      <c r="B161" t="s">
        <v>23</v>
      </c>
      <c r="C161" t="s">
        <v>75</v>
      </c>
      <c r="D161" t="s">
        <v>41</v>
      </c>
      <c r="E161" t="s">
        <v>42</v>
      </c>
      <c r="F161" t="s">
        <v>60</v>
      </c>
      <c r="G161" t="s">
        <v>104</v>
      </c>
      <c r="H161" t="s">
        <v>36</v>
      </c>
      <c r="I161">
        <v>27167</v>
      </c>
      <c r="J161">
        <v>7</v>
      </c>
      <c r="K161">
        <v>3.7</v>
      </c>
      <c r="L161">
        <v>6</v>
      </c>
      <c r="M161" t="s">
        <v>30</v>
      </c>
    </row>
    <row r="162" spans="1:13" x14ac:dyDescent="0.3">
      <c r="A162" t="s">
        <v>375</v>
      </c>
      <c r="B162" t="s">
        <v>376</v>
      </c>
      <c r="C162" t="s">
        <v>125</v>
      </c>
      <c r="D162" t="s">
        <v>79</v>
      </c>
      <c r="E162" t="s">
        <v>26</v>
      </c>
      <c r="F162" t="s">
        <v>83</v>
      </c>
      <c r="G162" t="s">
        <v>104</v>
      </c>
      <c r="H162" t="s">
        <v>29</v>
      </c>
      <c r="I162">
        <v>52130</v>
      </c>
      <c r="J162">
        <v>5</v>
      </c>
      <c r="K162">
        <v>4.5</v>
      </c>
      <c r="L162">
        <v>4</v>
      </c>
      <c r="M162" t="s">
        <v>144</v>
      </c>
    </row>
    <row r="163" spans="1:13" x14ac:dyDescent="0.3">
      <c r="A163" t="s">
        <v>377</v>
      </c>
      <c r="B163" t="s">
        <v>89</v>
      </c>
      <c r="C163" t="s">
        <v>40</v>
      </c>
      <c r="D163" t="s">
        <v>86</v>
      </c>
      <c r="E163" t="s">
        <v>17</v>
      </c>
      <c r="F163" t="s">
        <v>60</v>
      </c>
      <c r="G163" t="s">
        <v>28</v>
      </c>
      <c r="H163" t="s">
        <v>29</v>
      </c>
      <c r="I163">
        <v>2560</v>
      </c>
      <c r="J163">
        <v>2</v>
      </c>
      <c r="K163">
        <v>4.8</v>
      </c>
      <c r="L163">
        <v>6</v>
      </c>
      <c r="M163" t="s">
        <v>37</v>
      </c>
    </row>
    <row r="164" spans="1:13" x14ac:dyDescent="0.3">
      <c r="A164" t="s">
        <v>378</v>
      </c>
      <c r="B164" t="s">
        <v>379</v>
      </c>
      <c r="C164" t="s">
        <v>33</v>
      </c>
      <c r="D164" t="s">
        <v>130</v>
      </c>
      <c r="E164" t="s">
        <v>35</v>
      </c>
      <c r="F164" t="s">
        <v>100</v>
      </c>
      <c r="G164" t="s">
        <v>19</v>
      </c>
      <c r="H164" t="s">
        <v>20</v>
      </c>
      <c r="I164">
        <v>512296</v>
      </c>
      <c r="J164">
        <v>8</v>
      </c>
      <c r="K164">
        <v>3.9</v>
      </c>
      <c r="L164">
        <v>7</v>
      </c>
      <c r="M164" t="s">
        <v>55</v>
      </c>
    </row>
    <row r="165" spans="1:13" x14ac:dyDescent="0.3">
      <c r="A165" t="s">
        <v>380</v>
      </c>
      <c r="B165" t="s">
        <v>381</v>
      </c>
      <c r="C165" t="s">
        <v>125</v>
      </c>
      <c r="D165" t="s">
        <v>218</v>
      </c>
      <c r="E165" t="s">
        <v>17</v>
      </c>
      <c r="F165" t="s">
        <v>100</v>
      </c>
      <c r="G165" t="s">
        <v>104</v>
      </c>
      <c r="H165" t="s">
        <v>29</v>
      </c>
      <c r="I165">
        <v>6328</v>
      </c>
      <c r="J165">
        <v>7</v>
      </c>
      <c r="K165">
        <v>3.9</v>
      </c>
      <c r="L165">
        <v>4</v>
      </c>
      <c r="M165" t="s">
        <v>30</v>
      </c>
    </row>
    <row r="166" spans="1:13" x14ac:dyDescent="0.3">
      <c r="A166" t="s">
        <v>382</v>
      </c>
      <c r="B166" t="s">
        <v>383</v>
      </c>
      <c r="C166" t="s">
        <v>112</v>
      </c>
      <c r="D166" t="s">
        <v>90</v>
      </c>
      <c r="E166" t="s">
        <v>42</v>
      </c>
      <c r="F166" t="s">
        <v>18</v>
      </c>
      <c r="G166" t="s">
        <v>54</v>
      </c>
      <c r="H166" t="s">
        <v>36</v>
      </c>
      <c r="I166">
        <v>5538</v>
      </c>
      <c r="J166">
        <v>3</v>
      </c>
      <c r="K166">
        <v>4.0999999999999996</v>
      </c>
      <c r="L166">
        <v>1</v>
      </c>
      <c r="M166" t="s">
        <v>47</v>
      </c>
    </row>
    <row r="167" spans="1:13" x14ac:dyDescent="0.3">
      <c r="A167" t="s">
        <v>384</v>
      </c>
      <c r="B167" t="s">
        <v>385</v>
      </c>
      <c r="C167" t="s">
        <v>45</v>
      </c>
      <c r="D167" t="s">
        <v>116</v>
      </c>
      <c r="E167" t="s">
        <v>17</v>
      </c>
      <c r="F167" t="s">
        <v>27</v>
      </c>
      <c r="G167" t="s">
        <v>28</v>
      </c>
      <c r="H167" t="s">
        <v>64</v>
      </c>
      <c r="I167">
        <v>1756</v>
      </c>
      <c r="J167">
        <v>4</v>
      </c>
      <c r="K167">
        <v>4</v>
      </c>
      <c r="L167">
        <v>1</v>
      </c>
      <c r="M167" t="s">
        <v>80</v>
      </c>
    </row>
    <row r="168" spans="1:13" x14ac:dyDescent="0.3">
      <c r="A168" t="s">
        <v>386</v>
      </c>
      <c r="B168" t="s">
        <v>387</v>
      </c>
      <c r="C168" t="s">
        <v>112</v>
      </c>
      <c r="D168" t="s">
        <v>16</v>
      </c>
      <c r="E168" t="s">
        <v>17</v>
      </c>
      <c r="F168" t="s">
        <v>27</v>
      </c>
      <c r="G168" t="s">
        <v>28</v>
      </c>
      <c r="H168" t="s">
        <v>20</v>
      </c>
      <c r="I168">
        <v>2268</v>
      </c>
      <c r="J168">
        <v>7</v>
      </c>
      <c r="K168">
        <v>5</v>
      </c>
      <c r="L168">
        <v>1</v>
      </c>
      <c r="M168" t="s">
        <v>65</v>
      </c>
    </row>
    <row r="169" spans="1:13" x14ac:dyDescent="0.3">
      <c r="A169" t="s">
        <v>388</v>
      </c>
      <c r="B169" t="s">
        <v>373</v>
      </c>
      <c r="C169" t="s">
        <v>50</v>
      </c>
      <c r="D169" t="s">
        <v>16</v>
      </c>
      <c r="E169" t="s">
        <v>17</v>
      </c>
      <c r="F169" t="s">
        <v>18</v>
      </c>
      <c r="G169" t="s">
        <v>104</v>
      </c>
      <c r="H169" t="s">
        <v>64</v>
      </c>
      <c r="I169">
        <v>2379</v>
      </c>
      <c r="J169">
        <v>3</v>
      </c>
      <c r="K169">
        <v>4.7</v>
      </c>
      <c r="L169">
        <v>5</v>
      </c>
      <c r="M169" t="s">
        <v>65</v>
      </c>
    </row>
    <row r="170" spans="1:13" x14ac:dyDescent="0.3">
      <c r="A170" t="s">
        <v>389</v>
      </c>
      <c r="B170" t="s">
        <v>298</v>
      </c>
      <c r="C170" t="s">
        <v>33</v>
      </c>
      <c r="D170" t="s">
        <v>159</v>
      </c>
      <c r="E170" t="s">
        <v>42</v>
      </c>
      <c r="F170" t="s">
        <v>27</v>
      </c>
      <c r="G170" t="s">
        <v>54</v>
      </c>
      <c r="H170" t="s">
        <v>20</v>
      </c>
      <c r="I170">
        <v>5860</v>
      </c>
      <c r="J170">
        <v>4</v>
      </c>
      <c r="K170">
        <v>3.9</v>
      </c>
      <c r="L170">
        <v>8</v>
      </c>
      <c r="M170" t="s">
        <v>119</v>
      </c>
    </row>
    <row r="171" spans="1:13" x14ac:dyDescent="0.3">
      <c r="A171" t="s">
        <v>390</v>
      </c>
      <c r="B171" t="s">
        <v>391</v>
      </c>
      <c r="C171" t="s">
        <v>103</v>
      </c>
      <c r="D171" t="s">
        <v>116</v>
      </c>
      <c r="E171" t="s">
        <v>17</v>
      </c>
      <c r="F171" t="s">
        <v>18</v>
      </c>
      <c r="G171" t="s">
        <v>54</v>
      </c>
      <c r="H171" t="s">
        <v>29</v>
      </c>
      <c r="I171">
        <v>8748</v>
      </c>
      <c r="J171">
        <v>6</v>
      </c>
      <c r="K171">
        <v>3.6</v>
      </c>
      <c r="L171">
        <v>8</v>
      </c>
      <c r="M171" t="s">
        <v>47</v>
      </c>
    </row>
    <row r="172" spans="1:13" x14ac:dyDescent="0.3">
      <c r="A172" t="s">
        <v>392</v>
      </c>
      <c r="B172" t="s">
        <v>393</v>
      </c>
      <c r="C172" t="s">
        <v>24</v>
      </c>
      <c r="D172" t="s">
        <v>25</v>
      </c>
      <c r="E172" t="s">
        <v>26</v>
      </c>
      <c r="F172" t="s">
        <v>100</v>
      </c>
      <c r="G172" t="s">
        <v>19</v>
      </c>
      <c r="H172" t="s">
        <v>64</v>
      </c>
      <c r="I172">
        <v>43950</v>
      </c>
      <c r="J172">
        <v>6</v>
      </c>
      <c r="K172">
        <v>4.9000000000000004</v>
      </c>
      <c r="L172">
        <v>5</v>
      </c>
      <c r="M172" t="s">
        <v>37</v>
      </c>
    </row>
    <row r="173" spans="1:13" x14ac:dyDescent="0.3">
      <c r="A173" t="s">
        <v>394</v>
      </c>
      <c r="B173" t="s">
        <v>352</v>
      </c>
      <c r="C173" t="s">
        <v>75</v>
      </c>
      <c r="D173" t="s">
        <v>59</v>
      </c>
      <c r="E173" t="s">
        <v>26</v>
      </c>
      <c r="F173" t="s">
        <v>53</v>
      </c>
      <c r="G173" t="s">
        <v>28</v>
      </c>
      <c r="H173" t="s">
        <v>29</v>
      </c>
      <c r="I173">
        <v>5037</v>
      </c>
      <c r="J173">
        <v>3</v>
      </c>
      <c r="K173">
        <v>3.4</v>
      </c>
      <c r="L173">
        <v>4</v>
      </c>
      <c r="M173" t="s">
        <v>55</v>
      </c>
    </row>
    <row r="174" spans="1:13" x14ac:dyDescent="0.3">
      <c r="A174" t="s">
        <v>395</v>
      </c>
      <c r="B174" t="s">
        <v>396</v>
      </c>
      <c r="C174" t="s">
        <v>75</v>
      </c>
      <c r="D174" t="s">
        <v>218</v>
      </c>
      <c r="E174" t="s">
        <v>17</v>
      </c>
      <c r="F174" t="s">
        <v>100</v>
      </c>
      <c r="G174" t="s">
        <v>104</v>
      </c>
      <c r="H174" t="s">
        <v>20</v>
      </c>
      <c r="I174">
        <v>6136</v>
      </c>
      <c r="J174">
        <v>8</v>
      </c>
      <c r="K174">
        <v>3.5</v>
      </c>
      <c r="L174">
        <v>7</v>
      </c>
      <c r="M174" t="s">
        <v>47</v>
      </c>
    </row>
    <row r="175" spans="1:13" x14ac:dyDescent="0.3">
      <c r="A175" t="s">
        <v>397</v>
      </c>
      <c r="B175" t="s">
        <v>398</v>
      </c>
      <c r="C175" t="s">
        <v>40</v>
      </c>
      <c r="D175" t="s">
        <v>16</v>
      </c>
      <c r="E175" t="s">
        <v>17</v>
      </c>
      <c r="F175" t="s">
        <v>60</v>
      </c>
      <c r="G175" t="s">
        <v>104</v>
      </c>
      <c r="H175" t="s">
        <v>29</v>
      </c>
      <c r="I175">
        <v>3234</v>
      </c>
      <c r="J175">
        <v>3</v>
      </c>
      <c r="K175">
        <v>3.4</v>
      </c>
      <c r="L175">
        <v>1</v>
      </c>
      <c r="M175" t="s">
        <v>21</v>
      </c>
    </row>
    <row r="176" spans="1:13" x14ac:dyDescent="0.3">
      <c r="A176" t="s">
        <v>399</v>
      </c>
      <c r="B176" t="s">
        <v>400</v>
      </c>
      <c r="C176" t="s">
        <v>75</v>
      </c>
      <c r="D176" t="s">
        <v>86</v>
      </c>
      <c r="E176" t="s">
        <v>17</v>
      </c>
      <c r="F176" t="s">
        <v>53</v>
      </c>
      <c r="G176" t="s">
        <v>54</v>
      </c>
      <c r="H176" t="s">
        <v>29</v>
      </c>
      <c r="I176">
        <v>3546</v>
      </c>
      <c r="J176">
        <v>3</v>
      </c>
      <c r="K176">
        <v>3.9</v>
      </c>
      <c r="L176">
        <v>1</v>
      </c>
      <c r="M176" t="s">
        <v>87</v>
      </c>
    </row>
    <row r="177" spans="1:13" x14ac:dyDescent="0.3">
      <c r="A177" t="s">
        <v>401</v>
      </c>
      <c r="B177" t="s">
        <v>402</v>
      </c>
      <c r="C177" t="s">
        <v>24</v>
      </c>
      <c r="D177" t="s">
        <v>41</v>
      </c>
      <c r="E177" t="s">
        <v>42</v>
      </c>
      <c r="F177" t="s">
        <v>83</v>
      </c>
      <c r="G177" t="s">
        <v>104</v>
      </c>
      <c r="H177" t="s">
        <v>29</v>
      </c>
      <c r="I177">
        <v>18816</v>
      </c>
      <c r="J177">
        <v>7</v>
      </c>
      <c r="K177">
        <v>4.0999999999999996</v>
      </c>
      <c r="L177">
        <v>7</v>
      </c>
      <c r="M177" t="s">
        <v>21</v>
      </c>
    </row>
    <row r="178" spans="1:13" x14ac:dyDescent="0.3">
      <c r="A178" t="s">
        <v>403</v>
      </c>
      <c r="B178" t="s">
        <v>404</v>
      </c>
      <c r="C178" t="s">
        <v>129</v>
      </c>
      <c r="D178" t="s">
        <v>97</v>
      </c>
      <c r="E178" t="s">
        <v>35</v>
      </c>
      <c r="F178" t="s">
        <v>53</v>
      </c>
      <c r="G178" t="s">
        <v>19</v>
      </c>
      <c r="H178" t="s">
        <v>64</v>
      </c>
      <c r="I178">
        <v>77340</v>
      </c>
      <c r="J178">
        <v>2</v>
      </c>
      <c r="K178">
        <v>4.0999999999999996</v>
      </c>
      <c r="L178">
        <v>2</v>
      </c>
      <c r="M178" t="s">
        <v>80</v>
      </c>
    </row>
    <row r="179" spans="1:13" x14ac:dyDescent="0.3">
      <c r="A179" t="s">
        <v>405</v>
      </c>
      <c r="B179" t="s">
        <v>406</v>
      </c>
      <c r="C179" t="s">
        <v>170</v>
      </c>
      <c r="D179" t="s">
        <v>79</v>
      </c>
      <c r="E179" t="s">
        <v>26</v>
      </c>
      <c r="F179" t="s">
        <v>60</v>
      </c>
      <c r="G179" t="s">
        <v>104</v>
      </c>
      <c r="H179" t="s">
        <v>64</v>
      </c>
      <c r="I179">
        <v>12486</v>
      </c>
      <c r="J179">
        <v>2</v>
      </c>
      <c r="K179">
        <v>4.7</v>
      </c>
      <c r="L179">
        <v>7</v>
      </c>
      <c r="M179" t="s">
        <v>47</v>
      </c>
    </row>
    <row r="180" spans="1:13" x14ac:dyDescent="0.3">
      <c r="A180" t="s">
        <v>407</v>
      </c>
      <c r="B180" t="s">
        <v>408</v>
      </c>
      <c r="C180" t="s">
        <v>40</v>
      </c>
      <c r="D180" t="s">
        <v>79</v>
      </c>
      <c r="E180" t="s">
        <v>26</v>
      </c>
      <c r="F180" t="s">
        <v>27</v>
      </c>
      <c r="G180" t="s">
        <v>28</v>
      </c>
      <c r="H180" t="s">
        <v>20</v>
      </c>
      <c r="I180">
        <v>22260</v>
      </c>
      <c r="J180">
        <v>6</v>
      </c>
      <c r="K180">
        <v>4.9000000000000004</v>
      </c>
      <c r="L180">
        <v>6</v>
      </c>
      <c r="M180" t="s">
        <v>126</v>
      </c>
    </row>
    <row r="181" spans="1:13" x14ac:dyDescent="0.3">
      <c r="A181" t="s">
        <v>409</v>
      </c>
      <c r="B181" t="s">
        <v>237</v>
      </c>
      <c r="C181" t="s">
        <v>78</v>
      </c>
      <c r="D181" t="s">
        <v>97</v>
      </c>
      <c r="E181" t="s">
        <v>35</v>
      </c>
      <c r="F181" t="s">
        <v>18</v>
      </c>
      <c r="G181" t="s">
        <v>28</v>
      </c>
      <c r="H181" t="s">
        <v>20</v>
      </c>
      <c r="I181">
        <v>534835</v>
      </c>
      <c r="J181">
        <v>7</v>
      </c>
      <c r="K181">
        <v>5</v>
      </c>
      <c r="L181">
        <v>3</v>
      </c>
      <c r="M181" t="s">
        <v>21</v>
      </c>
    </row>
    <row r="182" spans="1:13" x14ac:dyDescent="0.3">
      <c r="A182" t="s">
        <v>410</v>
      </c>
      <c r="B182" t="s">
        <v>411</v>
      </c>
      <c r="C182" t="s">
        <v>133</v>
      </c>
      <c r="D182" t="s">
        <v>46</v>
      </c>
      <c r="E182" t="s">
        <v>42</v>
      </c>
      <c r="F182" t="s">
        <v>60</v>
      </c>
      <c r="G182" t="s">
        <v>54</v>
      </c>
      <c r="H182" t="s">
        <v>64</v>
      </c>
      <c r="I182">
        <v>11776</v>
      </c>
      <c r="J182">
        <v>2</v>
      </c>
      <c r="K182">
        <v>3.6</v>
      </c>
      <c r="L182">
        <v>3</v>
      </c>
      <c r="M182" t="s">
        <v>119</v>
      </c>
    </row>
    <row r="183" spans="1:13" x14ac:dyDescent="0.3">
      <c r="A183" t="s">
        <v>412</v>
      </c>
      <c r="B183" t="s">
        <v>413</v>
      </c>
      <c r="C183" t="s">
        <v>78</v>
      </c>
      <c r="D183" t="s">
        <v>69</v>
      </c>
      <c r="E183" t="s">
        <v>26</v>
      </c>
      <c r="F183" t="s">
        <v>100</v>
      </c>
      <c r="G183" t="s">
        <v>54</v>
      </c>
      <c r="H183" t="s">
        <v>36</v>
      </c>
      <c r="I183">
        <v>9814</v>
      </c>
      <c r="J183">
        <v>7</v>
      </c>
      <c r="K183">
        <v>4.5999999999999996</v>
      </c>
      <c r="L183">
        <v>6</v>
      </c>
      <c r="M183" t="s">
        <v>30</v>
      </c>
    </row>
    <row r="184" spans="1:13" x14ac:dyDescent="0.3">
      <c r="A184" t="s">
        <v>414</v>
      </c>
      <c r="B184" t="s">
        <v>415</v>
      </c>
      <c r="C184" t="s">
        <v>122</v>
      </c>
      <c r="D184" t="s">
        <v>109</v>
      </c>
      <c r="E184" t="s">
        <v>52</v>
      </c>
      <c r="F184" t="s">
        <v>100</v>
      </c>
      <c r="G184" t="s">
        <v>19</v>
      </c>
      <c r="H184" t="s">
        <v>64</v>
      </c>
      <c r="I184">
        <v>1886</v>
      </c>
      <c r="J184">
        <v>1</v>
      </c>
      <c r="K184">
        <v>3.2</v>
      </c>
      <c r="L184">
        <v>5</v>
      </c>
      <c r="M184" t="s">
        <v>80</v>
      </c>
    </row>
    <row r="185" spans="1:13" x14ac:dyDescent="0.3">
      <c r="A185" t="s">
        <v>416</v>
      </c>
      <c r="B185" t="s">
        <v>172</v>
      </c>
      <c r="C185" t="s">
        <v>68</v>
      </c>
      <c r="D185" t="s">
        <v>97</v>
      </c>
      <c r="E185" t="s">
        <v>35</v>
      </c>
      <c r="F185" t="s">
        <v>27</v>
      </c>
      <c r="G185" t="s">
        <v>19</v>
      </c>
      <c r="H185" t="s">
        <v>29</v>
      </c>
      <c r="I185">
        <v>197331</v>
      </c>
      <c r="J185">
        <v>3</v>
      </c>
      <c r="K185">
        <v>3.9</v>
      </c>
      <c r="L185">
        <v>2</v>
      </c>
      <c r="M185" t="s">
        <v>47</v>
      </c>
    </row>
    <row r="186" spans="1:13" x14ac:dyDescent="0.3">
      <c r="A186" t="s">
        <v>417</v>
      </c>
      <c r="B186" t="s">
        <v>418</v>
      </c>
      <c r="C186" t="s">
        <v>170</v>
      </c>
      <c r="D186" t="s">
        <v>130</v>
      </c>
      <c r="E186" t="s">
        <v>35</v>
      </c>
      <c r="F186" t="s">
        <v>18</v>
      </c>
      <c r="G186" t="s">
        <v>104</v>
      </c>
      <c r="H186" t="s">
        <v>36</v>
      </c>
      <c r="I186">
        <v>192608</v>
      </c>
      <c r="J186">
        <v>4</v>
      </c>
      <c r="K186">
        <v>4</v>
      </c>
      <c r="L186">
        <v>8</v>
      </c>
      <c r="M186" t="s">
        <v>47</v>
      </c>
    </row>
    <row r="187" spans="1:13" x14ac:dyDescent="0.3">
      <c r="A187" t="s">
        <v>419</v>
      </c>
      <c r="B187" t="s">
        <v>420</v>
      </c>
      <c r="C187" t="s">
        <v>78</v>
      </c>
      <c r="D187" t="s">
        <v>16</v>
      </c>
      <c r="E187" t="s">
        <v>17</v>
      </c>
      <c r="F187" t="s">
        <v>60</v>
      </c>
      <c r="G187" t="s">
        <v>28</v>
      </c>
      <c r="H187" t="s">
        <v>20</v>
      </c>
      <c r="I187">
        <v>3372</v>
      </c>
      <c r="J187">
        <v>2</v>
      </c>
      <c r="K187">
        <v>4.2</v>
      </c>
      <c r="L187">
        <v>6</v>
      </c>
      <c r="M187" t="s">
        <v>126</v>
      </c>
    </row>
    <row r="188" spans="1:13" x14ac:dyDescent="0.3">
      <c r="A188" t="s">
        <v>421</v>
      </c>
      <c r="B188" t="s">
        <v>422</v>
      </c>
      <c r="C188" t="s">
        <v>15</v>
      </c>
      <c r="D188" t="s">
        <v>159</v>
      </c>
      <c r="E188" t="s">
        <v>42</v>
      </c>
      <c r="F188" t="s">
        <v>27</v>
      </c>
      <c r="G188" t="s">
        <v>19</v>
      </c>
      <c r="H188" t="s">
        <v>20</v>
      </c>
      <c r="I188">
        <v>16212</v>
      </c>
      <c r="J188">
        <v>7</v>
      </c>
      <c r="K188">
        <v>4.3</v>
      </c>
      <c r="L188">
        <v>7</v>
      </c>
      <c r="M188" t="s">
        <v>37</v>
      </c>
    </row>
    <row r="189" spans="1:13" x14ac:dyDescent="0.3">
      <c r="A189" t="s">
        <v>423</v>
      </c>
      <c r="B189" t="s">
        <v>424</v>
      </c>
      <c r="C189" t="s">
        <v>125</v>
      </c>
      <c r="D189" t="s">
        <v>113</v>
      </c>
      <c r="E189" t="s">
        <v>35</v>
      </c>
      <c r="F189" t="s">
        <v>100</v>
      </c>
      <c r="G189" t="s">
        <v>104</v>
      </c>
      <c r="H189" t="s">
        <v>64</v>
      </c>
      <c r="I189">
        <v>100890</v>
      </c>
      <c r="J189">
        <v>2</v>
      </c>
      <c r="K189">
        <v>4</v>
      </c>
      <c r="L189">
        <v>5</v>
      </c>
      <c r="M189" t="s">
        <v>30</v>
      </c>
    </row>
    <row r="190" spans="1:13" x14ac:dyDescent="0.3">
      <c r="A190" t="s">
        <v>425</v>
      </c>
      <c r="B190" t="s">
        <v>222</v>
      </c>
      <c r="C190" t="s">
        <v>45</v>
      </c>
      <c r="D190" t="s">
        <v>69</v>
      </c>
      <c r="E190" t="s">
        <v>26</v>
      </c>
      <c r="F190" t="s">
        <v>100</v>
      </c>
      <c r="G190" t="s">
        <v>54</v>
      </c>
      <c r="H190" t="s">
        <v>20</v>
      </c>
      <c r="I190">
        <v>7252</v>
      </c>
      <c r="J190">
        <v>2</v>
      </c>
      <c r="K190">
        <v>4.7</v>
      </c>
      <c r="L190">
        <v>5</v>
      </c>
      <c r="M190" t="s">
        <v>30</v>
      </c>
    </row>
    <row r="191" spans="1:13" x14ac:dyDescent="0.3">
      <c r="A191" t="s">
        <v>426</v>
      </c>
      <c r="B191" t="s">
        <v>427</v>
      </c>
      <c r="C191" t="s">
        <v>58</v>
      </c>
      <c r="D191" t="s">
        <v>113</v>
      </c>
      <c r="E191" t="s">
        <v>35</v>
      </c>
      <c r="F191" t="s">
        <v>60</v>
      </c>
      <c r="G191" t="s">
        <v>28</v>
      </c>
      <c r="H191" t="s">
        <v>20</v>
      </c>
      <c r="I191">
        <v>257145</v>
      </c>
      <c r="J191">
        <v>5</v>
      </c>
      <c r="K191">
        <v>3.9</v>
      </c>
      <c r="L191">
        <v>3</v>
      </c>
      <c r="M191" t="s">
        <v>21</v>
      </c>
    </row>
    <row r="192" spans="1:13" x14ac:dyDescent="0.3">
      <c r="A192" t="s">
        <v>428</v>
      </c>
      <c r="B192" t="s">
        <v>429</v>
      </c>
      <c r="C192" t="s">
        <v>129</v>
      </c>
      <c r="D192" t="s">
        <v>159</v>
      </c>
      <c r="E192" t="s">
        <v>42</v>
      </c>
      <c r="F192" t="s">
        <v>18</v>
      </c>
      <c r="G192" t="s">
        <v>28</v>
      </c>
      <c r="H192" t="s">
        <v>20</v>
      </c>
      <c r="I192">
        <v>6696</v>
      </c>
      <c r="J192">
        <v>3</v>
      </c>
      <c r="K192">
        <v>4.7</v>
      </c>
      <c r="L192">
        <v>1</v>
      </c>
      <c r="M192" t="s">
        <v>30</v>
      </c>
    </row>
    <row r="193" spans="1:13" x14ac:dyDescent="0.3">
      <c r="A193" t="s">
        <v>430</v>
      </c>
      <c r="B193" t="s">
        <v>23</v>
      </c>
      <c r="C193" t="s">
        <v>122</v>
      </c>
      <c r="D193" t="s">
        <v>51</v>
      </c>
      <c r="E193" t="s">
        <v>52</v>
      </c>
      <c r="F193" t="s">
        <v>53</v>
      </c>
      <c r="G193" t="s">
        <v>54</v>
      </c>
      <c r="H193" t="s">
        <v>29</v>
      </c>
      <c r="I193">
        <v>18112</v>
      </c>
      <c r="J193">
        <v>8</v>
      </c>
      <c r="K193">
        <v>3.5</v>
      </c>
      <c r="L193">
        <v>1</v>
      </c>
      <c r="M193" t="s">
        <v>30</v>
      </c>
    </row>
    <row r="194" spans="1:13" x14ac:dyDescent="0.3">
      <c r="A194" t="s">
        <v>431</v>
      </c>
      <c r="B194" t="s">
        <v>432</v>
      </c>
      <c r="C194" t="s">
        <v>78</v>
      </c>
      <c r="D194" t="s">
        <v>109</v>
      </c>
      <c r="E194" t="s">
        <v>52</v>
      </c>
      <c r="F194" t="s">
        <v>53</v>
      </c>
      <c r="G194" t="s">
        <v>54</v>
      </c>
      <c r="H194" t="s">
        <v>64</v>
      </c>
      <c r="I194">
        <v>18224</v>
      </c>
      <c r="J194">
        <v>8</v>
      </c>
      <c r="K194">
        <v>4.2</v>
      </c>
      <c r="L194">
        <v>5</v>
      </c>
      <c r="M194" t="s">
        <v>80</v>
      </c>
    </row>
    <row r="195" spans="1:13" x14ac:dyDescent="0.3">
      <c r="A195" t="s">
        <v>433</v>
      </c>
      <c r="B195" t="s">
        <v>434</v>
      </c>
      <c r="C195" t="s">
        <v>146</v>
      </c>
      <c r="D195" t="s">
        <v>79</v>
      </c>
      <c r="E195" t="s">
        <v>26</v>
      </c>
      <c r="F195" t="s">
        <v>18</v>
      </c>
      <c r="G195" t="s">
        <v>19</v>
      </c>
      <c r="H195" t="s">
        <v>20</v>
      </c>
      <c r="I195">
        <v>16336</v>
      </c>
      <c r="J195">
        <v>2</v>
      </c>
      <c r="K195">
        <v>3.7</v>
      </c>
      <c r="L195">
        <v>2</v>
      </c>
      <c r="M195" t="s">
        <v>47</v>
      </c>
    </row>
    <row r="196" spans="1:13" x14ac:dyDescent="0.3">
      <c r="A196" t="s">
        <v>435</v>
      </c>
      <c r="B196" t="s">
        <v>436</v>
      </c>
      <c r="C196" t="s">
        <v>45</v>
      </c>
      <c r="D196" t="s">
        <v>59</v>
      </c>
      <c r="E196" t="s">
        <v>26</v>
      </c>
      <c r="F196" t="s">
        <v>100</v>
      </c>
      <c r="G196" t="s">
        <v>19</v>
      </c>
      <c r="H196" t="s">
        <v>29</v>
      </c>
      <c r="I196">
        <v>12404</v>
      </c>
      <c r="J196">
        <v>7</v>
      </c>
      <c r="K196">
        <v>4.2</v>
      </c>
      <c r="L196">
        <v>5</v>
      </c>
      <c r="M196" t="s">
        <v>119</v>
      </c>
    </row>
    <row r="197" spans="1:13" x14ac:dyDescent="0.3">
      <c r="A197" t="s">
        <v>437</v>
      </c>
      <c r="B197" t="s">
        <v>252</v>
      </c>
      <c r="C197" t="s">
        <v>72</v>
      </c>
      <c r="D197" t="s">
        <v>130</v>
      </c>
      <c r="E197" t="s">
        <v>35</v>
      </c>
      <c r="F197" t="s">
        <v>83</v>
      </c>
      <c r="G197" t="s">
        <v>19</v>
      </c>
      <c r="H197" t="s">
        <v>29</v>
      </c>
      <c r="I197">
        <v>101355</v>
      </c>
      <c r="J197">
        <v>5</v>
      </c>
      <c r="K197">
        <v>5</v>
      </c>
      <c r="L197">
        <v>3</v>
      </c>
      <c r="M197" t="s">
        <v>30</v>
      </c>
    </row>
    <row r="198" spans="1:13" x14ac:dyDescent="0.3">
      <c r="A198" t="s">
        <v>438</v>
      </c>
      <c r="B198" t="s">
        <v>74</v>
      </c>
      <c r="C198" t="s">
        <v>50</v>
      </c>
      <c r="D198" t="s">
        <v>51</v>
      </c>
      <c r="E198" t="s">
        <v>52</v>
      </c>
      <c r="F198" t="s">
        <v>100</v>
      </c>
      <c r="G198" t="s">
        <v>104</v>
      </c>
      <c r="H198" t="s">
        <v>29</v>
      </c>
      <c r="I198">
        <v>4050</v>
      </c>
      <c r="J198">
        <v>3</v>
      </c>
      <c r="K198">
        <v>4</v>
      </c>
      <c r="L198">
        <v>2</v>
      </c>
      <c r="M198" t="s">
        <v>65</v>
      </c>
    </row>
    <row r="199" spans="1:13" x14ac:dyDescent="0.3">
      <c r="A199" t="s">
        <v>439</v>
      </c>
      <c r="B199" t="s">
        <v>440</v>
      </c>
      <c r="C199" t="s">
        <v>78</v>
      </c>
      <c r="D199" t="s">
        <v>90</v>
      </c>
      <c r="E199" t="s">
        <v>42</v>
      </c>
      <c r="F199" t="s">
        <v>60</v>
      </c>
      <c r="G199" t="s">
        <v>19</v>
      </c>
      <c r="H199" t="s">
        <v>64</v>
      </c>
      <c r="I199">
        <v>5900</v>
      </c>
      <c r="J199">
        <v>1</v>
      </c>
      <c r="K199">
        <v>4.5</v>
      </c>
      <c r="L199">
        <v>2</v>
      </c>
      <c r="M199" t="s">
        <v>126</v>
      </c>
    </row>
    <row r="200" spans="1:13" x14ac:dyDescent="0.3">
      <c r="A200" t="s">
        <v>441</v>
      </c>
      <c r="B200" t="s">
        <v>398</v>
      </c>
      <c r="C200" t="s">
        <v>170</v>
      </c>
      <c r="D200" t="s">
        <v>51</v>
      </c>
      <c r="E200" t="s">
        <v>52</v>
      </c>
      <c r="F200" t="s">
        <v>27</v>
      </c>
      <c r="G200" t="s">
        <v>54</v>
      </c>
      <c r="H200" t="s">
        <v>36</v>
      </c>
      <c r="I200">
        <v>9798</v>
      </c>
      <c r="J200">
        <v>6</v>
      </c>
      <c r="K200">
        <v>4.2</v>
      </c>
      <c r="L200">
        <v>8</v>
      </c>
      <c r="M200" t="s">
        <v>21</v>
      </c>
    </row>
    <row r="201" spans="1:13" x14ac:dyDescent="0.3">
      <c r="A201" t="s">
        <v>442</v>
      </c>
      <c r="B201" t="s">
        <v>296</v>
      </c>
      <c r="C201" t="s">
        <v>40</v>
      </c>
      <c r="D201" t="s">
        <v>116</v>
      </c>
      <c r="E201" t="s">
        <v>17</v>
      </c>
      <c r="F201" t="s">
        <v>83</v>
      </c>
      <c r="G201" t="s">
        <v>104</v>
      </c>
      <c r="H201" t="s">
        <v>36</v>
      </c>
      <c r="I201">
        <v>1246</v>
      </c>
      <c r="J201">
        <v>2</v>
      </c>
      <c r="K201">
        <v>3.6</v>
      </c>
      <c r="L201">
        <v>3</v>
      </c>
      <c r="M201" t="s">
        <v>144</v>
      </c>
    </row>
    <row r="202" spans="1:13" x14ac:dyDescent="0.3">
      <c r="A202" t="s">
        <v>443</v>
      </c>
      <c r="B202" t="s">
        <v>444</v>
      </c>
      <c r="C202" t="s">
        <v>133</v>
      </c>
      <c r="D202" t="s">
        <v>130</v>
      </c>
      <c r="E202" t="s">
        <v>35</v>
      </c>
      <c r="F202" t="s">
        <v>27</v>
      </c>
      <c r="G202" t="s">
        <v>54</v>
      </c>
      <c r="H202" t="s">
        <v>36</v>
      </c>
      <c r="I202">
        <v>55722</v>
      </c>
      <c r="J202">
        <v>6</v>
      </c>
      <c r="K202">
        <v>3.7</v>
      </c>
      <c r="L202">
        <v>4</v>
      </c>
      <c r="M202" t="s">
        <v>87</v>
      </c>
    </row>
    <row r="203" spans="1:13" x14ac:dyDescent="0.3">
      <c r="A203" t="s">
        <v>445</v>
      </c>
      <c r="B203" t="s">
        <v>446</v>
      </c>
      <c r="C203" t="s">
        <v>68</v>
      </c>
      <c r="D203" t="s">
        <v>86</v>
      </c>
      <c r="E203" t="s">
        <v>17</v>
      </c>
      <c r="F203" t="s">
        <v>60</v>
      </c>
      <c r="G203" t="s">
        <v>19</v>
      </c>
      <c r="H203" t="s">
        <v>64</v>
      </c>
      <c r="I203">
        <v>1142</v>
      </c>
      <c r="J203">
        <v>2</v>
      </c>
      <c r="K203">
        <v>3.2</v>
      </c>
      <c r="L203">
        <v>6</v>
      </c>
      <c r="M203" t="s">
        <v>65</v>
      </c>
    </row>
    <row r="204" spans="1:13" x14ac:dyDescent="0.3">
      <c r="A204" t="s">
        <v>447</v>
      </c>
      <c r="B204" t="s">
        <v>352</v>
      </c>
      <c r="C204" t="s">
        <v>50</v>
      </c>
      <c r="D204" t="s">
        <v>86</v>
      </c>
      <c r="E204" t="s">
        <v>17</v>
      </c>
      <c r="F204" t="s">
        <v>83</v>
      </c>
      <c r="G204" t="s">
        <v>19</v>
      </c>
      <c r="H204" t="s">
        <v>36</v>
      </c>
      <c r="I204">
        <v>3592</v>
      </c>
      <c r="J204">
        <v>2</v>
      </c>
      <c r="K204">
        <v>4.8</v>
      </c>
      <c r="L204">
        <v>3</v>
      </c>
      <c r="M204" t="s">
        <v>55</v>
      </c>
    </row>
    <row r="205" spans="1:13" x14ac:dyDescent="0.3">
      <c r="A205" t="s">
        <v>448</v>
      </c>
      <c r="B205" t="s">
        <v>233</v>
      </c>
      <c r="C205" t="s">
        <v>179</v>
      </c>
      <c r="D205" t="s">
        <v>25</v>
      </c>
      <c r="E205" t="s">
        <v>26</v>
      </c>
      <c r="F205" t="s">
        <v>18</v>
      </c>
      <c r="G205" t="s">
        <v>54</v>
      </c>
      <c r="H205" t="s">
        <v>20</v>
      </c>
      <c r="I205">
        <v>9840</v>
      </c>
      <c r="J205">
        <v>3</v>
      </c>
      <c r="K205">
        <v>4.9000000000000004</v>
      </c>
      <c r="L205">
        <v>8</v>
      </c>
      <c r="M205" t="s">
        <v>192</v>
      </c>
    </row>
    <row r="206" spans="1:13" x14ac:dyDescent="0.3">
      <c r="A206" t="s">
        <v>449</v>
      </c>
      <c r="B206" t="s">
        <v>450</v>
      </c>
      <c r="C206" t="s">
        <v>15</v>
      </c>
      <c r="D206" t="s">
        <v>116</v>
      </c>
      <c r="E206" t="s">
        <v>17</v>
      </c>
      <c r="F206" t="s">
        <v>27</v>
      </c>
      <c r="G206" t="s">
        <v>104</v>
      </c>
      <c r="H206" t="s">
        <v>20</v>
      </c>
      <c r="I206">
        <v>6608</v>
      </c>
      <c r="J206">
        <v>7</v>
      </c>
      <c r="K206">
        <v>3.4</v>
      </c>
      <c r="L206">
        <v>5</v>
      </c>
      <c r="M206" t="s">
        <v>126</v>
      </c>
    </row>
    <row r="207" spans="1:13" x14ac:dyDescent="0.3">
      <c r="A207" t="s">
        <v>451</v>
      </c>
      <c r="B207" t="s">
        <v>452</v>
      </c>
      <c r="C207" t="s">
        <v>45</v>
      </c>
      <c r="D207" t="s">
        <v>79</v>
      </c>
      <c r="E207" t="s">
        <v>26</v>
      </c>
      <c r="F207" t="s">
        <v>18</v>
      </c>
      <c r="G207" t="s">
        <v>54</v>
      </c>
      <c r="H207" t="s">
        <v>29</v>
      </c>
      <c r="I207">
        <v>35610</v>
      </c>
      <c r="J207">
        <v>5</v>
      </c>
      <c r="K207">
        <v>3.4</v>
      </c>
      <c r="L207">
        <v>8</v>
      </c>
      <c r="M207" t="s">
        <v>55</v>
      </c>
    </row>
    <row r="208" spans="1:13" x14ac:dyDescent="0.3">
      <c r="A208" t="s">
        <v>453</v>
      </c>
      <c r="B208" t="s">
        <v>454</v>
      </c>
      <c r="C208" t="s">
        <v>15</v>
      </c>
      <c r="D208" t="s">
        <v>34</v>
      </c>
      <c r="E208" t="s">
        <v>35</v>
      </c>
      <c r="F208" t="s">
        <v>53</v>
      </c>
      <c r="G208" t="s">
        <v>19</v>
      </c>
      <c r="H208" t="s">
        <v>36</v>
      </c>
      <c r="I208">
        <v>176015</v>
      </c>
      <c r="J208">
        <v>7</v>
      </c>
      <c r="K208">
        <v>3.2</v>
      </c>
      <c r="L208">
        <v>2</v>
      </c>
      <c r="M208" t="s">
        <v>55</v>
      </c>
    </row>
    <row r="209" spans="1:13" x14ac:dyDescent="0.3">
      <c r="A209" t="s">
        <v>455</v>
      </c>
      <c r="B209" t="s">
        <v>456</v>
      </c>
      <c r="C209" t="s">
        <v>103</v>
      </c>
      <c r="D209" t="s">
        <v>116</v>
      </c>
      <c r="E209" t="s">
        <v>17</v>
      </c>
      <c r="F209" t="s">
        <v>18</v>
      </c>
      <c r="G209" t="s">
        <v>104</v>
      </c>
      <c r="H209" t="s">
        <v>36</v>
      </c>
      <c r="I209">
        <v>7935</v>
      </c>
      <c r="J209">
        <v>5</v>
      </c>
      <c r="K209">
        <v>3.3</v>
      </c>
      <c r="L209">
        <v>3</v>
      </c>
      <c r="M209" t="s">
        <v>65</v>
      </c>
    </row>
    <row r="210" spans="1:13" x14ac:dyDescent="0.3">
      <c r="A210" t="s">
        <v>457</v>
      </c>
      <c r="B210" t="s">
        <v>458</v>
      </c>
      <c r="C210" t="s">
        <v>133</v>
      </c>
      <c r="D210" t="s">
        <v>79</v>
      </c>
      <c r="E210" t="s">
        <v>26</v>
      </c>
      <c r="F210" t="s">
        <v>18</v>
      </c>
      <c r="G210" t="s">
        <v>28</v>
      </c>
      <c r="H210" t="s">
        <v>36</v>
      </c>
      <c r="I210">
        <v>28254</v>
      </c>
      <c r="J210">
        <v>6</v>
      </c>
      <c r="K210">
        <v>3.3</v>
      </c>
      <c r="L210">
        <v>2</v>
      </c>
      <c r="M210" t="s">
        <v>80</v>
      </c>
    </row>
    <row r="211" spans="1:13" x14ac:dyDescent="0.3">
      <c r="A211" t="s">
        <v>459</v>
      </c>
      <c r="B211" t="s">
        <v>460</v>
      </c>
      <c r="C211" t="s">
        <v>24</v>
      </c>
      <c r="D211" t="s">
        <v>34</v>
      </c>
      <c r="E211" t="s">
        <v>35</v>
      </c>
      <c r="F211" t="s">
        <v>53</v>
      </c>
      <c r="G211" t="s">
        <v>19</v>
      </c>
      <c r="H211" t="s">
        <v>29</v>
      </c>
      <c r="I211">
        <v>3987</v>
      </c>
      <c r="J211">
        <v>1</v>
      </c>
      <c r="K211">
        <v>4.9000000000000004</v>
      </c>
      <c r="L211">
        <v>5</v>
      </c>
      <c r="M211" t="s">
        <v>80</v>
      </c>
    </row>
    <row r="212" spans="1:13" x14ac:dyDescent="0.3">
      <c r="A212" t="s">
        <v>461</v>
      </c>
      <c r="B212" t="s">
        <v>462</v>
      </c>
      <c r="C212" t="s">
        <v>146</v>
      </c>
      <c r="D212" t="s">
        <v>16</v>
      </c>
      <c r="E212" t="s">
        <v>17</v>
      </c>
      <c r="F212" t="s">
        <v>100</v>
      </c>
      <c r="G212" t="s">
        <v>104</v>
      </c>
      <c r="H212" t="s">
        <v>36</v>
      </c>
      <c r="I212">
        <v>5999</v>
      </c>
      <c r="J212">
        <v>7</v>
      </c>
      <c r="K212">
        <v>4.3</v>
      </c>
      <c r="L212">
        <v>8</v>
      </c>
      <c r="M212" t="s">
        <v>126</v>
      </c>
    </row>
    <row r="213" spans="1:13" x14ac:dyDescent="0.3">
      <c r="A213" t="s">
        <v>463</v>
      </c>
      <c r="B213" t="s">
        <v>334</v>
      </c>
      <c r="C213" t="s">
        <v>33</v>
      </c>
      <c r="D213" t="s">
        <v>159</v>
      </c>
      <c r="E213" t="s">
        <v>42</v>
      </c>
      <c r="F213" t="s">
        <v>18</v>
      </c>
      <c r="G213" t="s">
        <v>19</v>
      </c>
      <c r="H213" t="s">
        <v>36</v>
      </c>
      <c r="I213">
        <v>4932</v>
      </c>
      <c r="J213">
        <v>3</v>
      </c>
      <c r="K213">
        <v>4.5</v>
      </c>
      <c r="L213">
        <v>1</v>
      </c>
      <c r="M213" t="s">
        <v>55</v>
      </c>
    </row>
    <row r="214" spans="1:13" x14ac:dyDescent="0.3">
      <c r="A214" t="s">
        <v>464</v>
      </c>
      <c r="B214" t="s">
        <v>352</v>
      </c>
      <c r="C214" t="s">
        <v>170</v>
      </c>
      <c r="D214" t="s">
        <v>46</v>
      </c>
      <c r="E214" t="s">
        <v>42</v>
      </c>
      <c r="F214" t="s">
        <v>53</v>
      </c>
      <c r="G214" t="s">
        <v>54</v>
      </c>
      <c r="H214" t="s">
        <v>29</v>
      </c>
      <c r="I214">
        <v>12405</v>
      </c>
      <c r="J214">
        <v>3</v>
      </c>
      <c r="K214">
        <v>3.8</v>
      </c>
      <c r="L214">
        <v>7</v>
      </c>
      <c r="M214" t="s">
        <v>55</v>
      </c>
    </row>
    <row r="215" spans="1:13" x14ac:dyDescent="0.3">
      <c r="A215" t="s">
        <v>465</v>
      </c>
      <c r="B215" t="s">
        <v>393</v>
      </c>
      <c r="C215" t="s">
        <v>170</v>
      </c>
      <c r="D215" t="s">
        <v>16</v>
      </c>
      <c r="E215" t="s">
        <v>17</v>
      </c>
      <c r="F215" t="s">
        <v>18</v>
      </c>
      <c r="G215" t="s">
        <v>28</v>
      </c>
      <c r="H215" t="s">
        <v>36</v>
      </c>
      <c r="I215">
        <v>5424</v>
      </c>
      <c r="J215">
        <v>4</v>
      </c>
      <c r="K215">
        <v>4.8</v>
      </c>
      <c r="L215">
        <v>5</v>
      </c>
      <c r="M215" t="s">
        <v>37</v>
      </c>
    </row>
    <row r="216" spans="1:13" x14ac:dyDescent="0.3">
      <c r="A216" t="s">
        <v>466</v>
      </c>
      <c r="B216" t="s">
        <v>402</v>
      </c>
      <c r="C216" t="s">
        <v>78</v>
      </c>
      <c r="D216" t="s">
        <v>34</v>
      </c>
      <c r="E216" t="s">
        <v>35</v>
      </c>
      <c r="F216" t="s">
        <v>83</v>
      </c>
      <c r="G216" t="s">
        <v>19</v>
      </c>
      <c r="H216" t="s">
        <v>36</v>
      </c>
      <c r="I216">
        <v>316535</v>
      </c>
      <c r="J216">
        <v>5</v>
      </c>
      <c r="K216">
        <v>4.9000000000000004</v>
      </c>
      <c r="L216">
        <v>4</v>
      </c>
      <c r="M216" t="s">
        <v>21</v>
      </c>
    </row>
    <row r="217" spans="1:13" x14ac:dyDescent="0.3">
      <c r="A217" t="s">
        <v>467</v>
      </c>
      <c r="B217" t="s">
        <v>468</v>
      </c>
      <c r="C217" t="s">
        <v>68</v>
      </c>
      <c r="D217" t="s">
        <v>41</v>
      </c>
      <c r="E217" t="s">
        <v>42</v>
      </c>
      <c r="F217" t="s">
        <v>83</v>
      </c>
      <c r="G217" t="s">
        <v>19</v>
      </c>
      <c r="H217" t="s">
        <v>64</v>
      </c>
      <c r="I217">
        <v>4266</v>
      </c>
      <c r="J217">
        <v>6</v>
      </c>
      <c r="K217">
        <v>3.9</v>
      </c>
      <c r="L217">
        <v>5</v>
      </c>
      <c r="M217" t="s">
        <v>37</v>
      </c>
    </row>
    <row r="218" spans="1:13" x14ac:dyDescent="0.3">
      <c r="A218" t="s">
        <v>469</v>
      </c>
      <c r="B218" t="s">
        <v>470</v>
      </c>
      <c r="C218" t="s">
        <v>146</v>
      </c>
      <c r="D218" t="s">
        <v>41</v>
      </c>
      <c r="E218" t="s">
        <v>42</v>
      </c>
      <c r="F218" t="s">
        <v>27</v>
      </c>
      <c r="G218" t="s">
        <v>54</v>
      </c>
      <c r="H218" t="s">
        <v>36</v>
      </c>
      <c r="I218">
        <v>24785</v>
      </c>
      <c r="J218">
        <v>5</v>
      </c>
      <c r="K218">
        <v>4.5</v>
      </c>
      <c r="L218">
        <v>6</v>
      </c>
      <c r="M218" t="s">
        <v>80</v>
      </c>
    </row>
    <row r="219" spans="1:13" x14ac:dyDescent="0.3">
      <c r="A219" t="s">
        <v>471</v>
      </c>
      <c r="B219" t="s">
        <v>472</v>
      </c>
      <c r="C219" t="s">
        <v>50</v>
      </c>
      <c r="D219" t="s">
        <v>79</v>
      </c>
      <c r="E219" t="s">
        <v>26</v>
      </c>
      <c r="F219" t="s">
        <v>27</v>
      </c>
      <c r="G219" t="s">
        <v>104</v>
      </c>
      <c r="H219" t="s">
        <v>29</v>
      </c>
      <c r="I219">
        <v>32753</v>
      </c>
      <c r="J219">
        <v>7</v>
      </c>
      <c r="K219">
        <v>3.7</v>
      </c>
      <c r="L219">
        <v>6</v>
      </c>
      <c r="M219" t="s">
        <v>192</v>
      </c>
    </row>
    <row r="220" spans="1:13" x14ac:dyDescent="0.3">
      <c r="A220" t="s">
        <v>473</v>
      </c>
      <c r="B220" t="s">
        <v>468</v>
      </c>
      <c r="C220" t="s">
        <v>146</v>
      </c>
      <c r="D220" t="s">
        <v>46</v>
      </c>
      <c r="E220" t="s">
        <v>42</v>
      </c>
      <c r="F220" t="s">
        <v>53</v>
      </c>
      <c r="G220" t="s">
        <v>28</v>
      </c>
      <c r="H220" t="s">
        <v>36</v>
      </c>
      <c r="I220">
        <v>3184</v>
      </c>
      <c r="J220">
        <v>2</v>
      </c>
      <c r="K220">
        <v>3.4</v>
      </c>
      <c r="L220">
        <v>8</v>
      </c>
      <c r="M220" t="s">
        <v>37</v>
      </c>
    </row>
    <row r="221" spans="1:13" x14ac:dyDescent="0.3">
      <c r="A221" t="s">
        <v>474</v>
      </c>
      <c r="B221" t="s">
        <v>475</v>
      </c>
      <c r="C221" t="s">
        <v>45</v>
      </c>
      <c r="D221" t="s">
        <v>59</v>
      </c>
      <c r="E221" t="s">
        <v>26</v>
      </c>
      <c r="F221" t="s">
        <v>18</v>
      </c>
      <c r="G221" t="s">
        <v>19</v>
      </c>
      <c r="H221" t="s">
        <v>29</v>
      </c>
      <c r="I221">
        <v>18248</v>
      </c>
      <c r="J221">
        <v>8</v>
      </c>
      <c r="K221">
        <v>3.5</v>
      </c>
      <c r="L221">
        <v>5</v>
      </c>
      <c r="M221" t="s">
        <v>37</v>
      </c>
    </row>
    <row r="222" spans="1:13" x14ac:dyDescent="0.3">
      <c r="A222" t="s">
        <v>476</v>
      </c>
      <c r="B222" t="s">
        <v>477</v>
      </c>
      <c r="C222" t="s">
        <v>15</v>
      </c>
      <c r="D222" t="s">
        <v>147</v>
      </c>
      <c r="E222" t="s">
        <v>52</v>
      </c>
      <c r="F222" t="s">
        <v>60</v>
      </c>
      <c r="G222" t="s">
        <v>28</v>
      </c>
      <c r="H222" t="s">
        <v>20</v>
      </c>
      <c r="I222">
        <v>7492</v>
      </c>
      <c r="J222">
        <v>4</v>
      </c>
      <c r="K222">
        <v>3.7</v>
      </c>
      <c r="L222">
        <v>3</v>
      </c>
      <c r="M222" t="s">
        <v>119</v>
      </c>
    </row>
    <row r="223" spans="1:13" x14ac:dyDescent="0.3">
      <c r="A223" t="s">
        <v>478</v>
      </c>
      <c r="B223" t="s">
        <v>183</v>
      </c>
      <c r="C223" t="s">
        <v>129</v>
      </c>
      <c r="D223" t="s">
        <v>116</v>
      </c>
      <c r="E223" t="s">
        <v>17</v>
      </c>
      <c r="F223" t="s">
        <v>27</v>
      </c>
      <c r="G223" t="s">
        <v>54</v>
      </c>
      <c r="H223" t="s">
        <v>29</v>
      </c>
      <c r="I223">
        <v>1644</v>
      </c>
      <c r="J223">
        <v>3</v>
      </c>
      <c r="K223">
        <v>3.6</v>
      </c>
      <c r="L223">
        <v>7</v>
      </c>
      <c r="M223" t="s">
        <v>87</v>
      </c>
    </row>
    <row r="224" spans="1:13" x14ac:dyDescent="0.3">
      <c r="A224" t="s">
        <v>479</v>
      </c>
      <c r="B224" t="s">
        <v>480</v>
      </c>
      <c r="C224" t="s">
        <v>33</v>
      </c>
      <c r="D224" t="s">
        <v>16</v>
      </c>
      <c r="E224" t="s">
        <v>17</v>
      </c>
      <c r="F224" t="s">
        <v>83</v>
      </c>
      <c r="G224" t="s">
        <v>28</v>
      </c>
      <c r="H224" t="s">
        <v>64</v>
      </c>
      <c r="I224">
        <v>6488</v>
      </c>
      <c r="J224">
        <v>4</v>
      </c>
      <c r="K224">
        <v>3.4</v>
      </c>
      <c r="L224">
        <v>8</v>
      </c>
      <c r="M224" t="s">
        <v>87</v>
      </c>
    </row>
    <row r="225" spans="1:13" x14ac:dyDescent="0.3">
      <c r="A225" t="s">
        <v>481</v>
      </c>
      <c r="B225" t="s">
        <v>482</v>
      </c>
      <c r="C225" t="s">
        <v>33</v>
      </c>
      <c r="D225" t="s">
        <v>41</v>
      </c>
      <c r="E225" t="s">
        <v>42</v>
      </c>
      <c r="F225" t="s">
        <v>100</v>
      </c>
      <c r="G225" t="s">
        <v>19</v>
      </c>
      <c r="H225" t="s">
        <v>29</v>
      </c>
      <c r="I225">
        <v>15631</v>
      </c>
      <c r="J225">
        <v>7</v>
      </c>
      <c r="K225">
        <v>3.7</v>
      </c>
      <c r="L225">
        <v>3</v>
      </c>
      <c r="M225" t="s">
        <v>55</v>
      </c>
    </row>
    <row r="226" spans="1:13" x14ac:dyDescent="0.3">
      <c r="A226" t="s">
        <v>483</v>
      </c>
      <c r="B226" t="s">
        <v>344</v>
      </c>
      <c r="C226" t="s">
        <v>78</v>
      </c>
      <c r="D226" t="s">
        <v>90</v>
      </c>
      <c r="E226" t="s">
        <v>42</v>
      </c>
      <c r="F226" t="s">
        <v>18</v>
      </c>
      <c r="G226" t="s">
        <v>28</v>
      </c>
      <c r="H226" t="s">
        <v>29</v>
      </c>
      <c r="I226">
        <v>30696</v>
      </c>
      <c r="J226">
        <v>8</v>
      </c>
      <c r="K226">
        <v>4</v>
      </c>
      <c r="L226">
        <v>4</v>
      </c>
      <c r="M226" t="s">
        <v>30</v>
      </c>
    </row>
    <row r="227" spans="1:13" x14ac:dyDescent="0.3">
      <c r="A227" t="s">
        <v>484</v>
      </c>
      <c r="B227" t="s">
        <v>485</v>
      </c>
      <c r="C227" t="s">
        <v>103</v>
      </c>
      <c r="D227" t="s">
        <v>90</v>
      </c>
      <c r="E227" t="s">
        <v>42</v>
      </c>
      <c r="F227" t="s">
        <v>18</v>
      </c>
      <c r="G227" t="s">
        <v>28</v>
      </c>
      <c r="H227" t="s">
        <v>29</v>
      </c>
      <c r="I227">
        <v>5478</v>
      </c>
      <c r="J227">
        <v>6</v>
      </c>
      <c r="K227">
        <v>4.3</v>
      </c>
      <c r="L227">
        <v>1</v>
      </c>
      <c r="M227" t="s">
        <v>126</v>
      </c>
    </row>
    <row r="228" spans="1:13" x14ac:dyDescent="0.3">
      <c r="A228" t="s">
        <v>486</v>
      </c>
      <c r="B228" t="s">
        <v>487</v>
      </c>
      <c r="C228" t="s">
        <v>58</v>
      </c>
      <c r="D228" t="s">
        <v>79</v>
      </c>
      <c r="E228" t="s">
        <v>26</v>
      </c>
      <c r="F228" t="s">
        <v>60</v>
      </c>
      <c r="G228" t="s">
        <v>104</v>
      </c>
      <c r="H228" t="s">
        <v>20</v>
      </c>
      <c r="I228">
        <v>3432</v>
      </c>
      <c r="J228">
        <v>2</v>
      </c>
      <c r="K228">
        <v>4.5999999999999996</v>
      </c>
      <c r="L228">
        <v>4</v>
      </c>
      <c r="M228" t="s">
        <v>80</v>
      </c>
    </row>
    <row r="229" spans="1:13" x14ac:dyDescent="0.3">
      <c r="A229" t="s">
        <v>488</v>
      </c>
      <c r="B229" t="s">
        <v>489</v>
      </c>
      <c r="C229" t="s">
        <v>58</v>
      </c>
      <c r="D229" t="s">
        <v>63</v>
      </c>
      <c r="E229" t="s">
        <v>52</v>
      </c>
      <c r="F229" t="s">
        <v>83</v>
      </c>
      <c r="G229" t="s">
        <v>28</v>
      </c>
      <c r="H229" t="s">
        <v>29</v>
      </c>
      <c r="I229">
        <v>10314</v>
      </c>
      <c r="J229">
        <v>6</v>
      </c>
      <c r="K229">
        <v>4.9000000000000004</v>
      </c>
      <c r="L229">
        <v>3</v>
      </c>
      <c r="M229" t="s">
        <v>30</v>
      </c>
    </row>
    <row r="230" spans="1:13" x14ac:dyDescent="0.3">
      <c r="A230" t="s">
        <v>490</v>
      </c>
      <c r="B230" t="s">
        <v>491</v>
      </c>
      <c r="C230" t="s">
        <v>170</v>
      </c>
      <c r="D230" t="s">
        <v>51</v>
      </c>
      <c r="E230" t="s">
        <v>52</v>
      </c>
      <c r="F230" t="s">
        <v>100</v>
      </c>
      <c r="G230" t="s">
        <v>19</v>
      </c>
      <c r="H230" t="s">
        <v>20</v>
      </c>
      <c r="I230">
        <v>2404</v>
      </c>
      <c r="J230">
        <v>2</v>
      </c>
      <c r="K230">
        <v>4.0999999999999996</v>
      </c>
      <c r="L230">
        <v>1</v>
      </c>
      <c r="M230" t="s">
        <v>144</v>
      </c>
    </row>
    <row r="231" spans="1:13" x14ac:dyDescent="0.3">
      <c r="A231" t="s">
        <v>492</v>
      </c>
      <c r="B231" t="s">
        <v>493</v>
      </c>
      <c r="C231" t="s">
        <v>75</v>
      </c>
      <c r="D231" t="s">
        <v>34</v>
      </c>
      <c r="E231" t="s">
        <v>35</v>
      </c>
      <c r="F231" t="s">
        <v>53</v>
      </c>
      <c r="G231" t="s">
        <v>28</v>
      </c>
      <c r="H231" t="s">
        <v>36</v>
      </c>
      <c r="I231">
        <v>79388</v>
      </c>
      <c r="J231">
        <v>1</v>
      </c>
      <c r="K231">
        <v>4.7</v>
      </c>
      <c r="L231">
        <v>6</v>
      </c>
      <c r="M231" t="s">
        <v>126</v>
      </c>
    </row>
    <row r="232" spans="1:13" x14ac:dyDescent="0.3">
      <c r="A232" t="s">
        <v>494</v>
      </c>
      <c r="B232" t="s">
        <v>493</v>
      </c>
      <c r="C232" t="s">
        <v>122</v>
      </c>
      <c r="D232" t="s">
        <v>130</v>
      </c>
      <c r="E232" t="s">
        <v>35</v>
      </c>
      <c r="F232" t="s">
        <v>27</v>
      </c>
      <c r="G232" t="s">
        <v>19</v>
      </c>
      <c r="H232" t="s">
        <v>64</v>
      </c>
      <c r="I232">
        <v>199074</v>
      </c>
      <c r="J232">
        <v>3</v>
      </c>
      <c r="K232">
        <v>4.5</v>
      </c>
      <c r="L232">
        <v>6</v>
      </c>
      <c r="M232" t="s">
        <v>126</v>
      </c>
    </row>
    <row r="233" spans="1:13" x14ac:dyDescent="0.3">
      <c r="A233" t="s">
        <v>495</v>
      </c>
      <c r="B233" t="s">
        <v>77</v>
      </c>
      <c r="C233" t="s">
        <v>45</v>
      </c>
      <c r="D233" t="s">
        <v>130</v>
      </c>
      <c r="E233" t="s">
        <v>35</v>
      </c>
      <c r="F233" t="s">
        <v>83</v>
      </c>
      <c r="G233" t="s">
        <v>54</v>
      </c>
      <c r="H233" t="s">
        <v>64</v>
      </c>
      <c r="I233">
        <v>232746</v>
      </c>
      <c r="J233">
        <v>3</v>
      </c>
      <c r="K233">
        <v>3.3</v>
      </c>
      <c r="L233">
        <v>6</v>
      </c>
      <c r="M233" t="s">
        <v>80</v>
      </c>
    </row>
    <row r="234" spans="1:13" x14ac:dyDescent="0.3">
      <c r="A234" t="s">
        <v>496</v>
      </c>
      <c r="B234" t="s">
        <v>263</v>
      </c>
      <c r="C234" t="s">
        <v>146</v>
      </c>
      <c r="D234" t="s">
        <v>109</v>
      </c>
      <c r="E234" t="s">
        <v>52</v>
      </c>
      <c r="F234" t="s">
        <v>18</v>
      </c>
      <c r="G234" t="s">
        <v>104</v>
      </c>
      <c r="H234" t="s">
        <v>20</v>
      </c>
      <c r="I234">
        <v>6232</v>
      </c>
      <c r="J234">
        <v>4</v>
      </c>
      <c r="K234">
        <v>4.7</v>
      </c>
      <c r="L234">
        <v>6</v>
      </c>
      <c r="M234" t="s">
        <v>87</v>
      </c>
    </row>
    <row r="235" spans="1:13" x14ac:dyDescent="0.3">
      <c r="A235" t="s">
        <v>497</v>
      </c>
      <c r="B235" t="s">
        <v>450</v>
      </c>
      <c r="C235" t="s">
        <v>133</v>
      </c>
      <c r="D235" t="s">
        <v>147</v>
      </c>
      <c r="E235" t="s">
        <v>52</v>
      </c>
      <c r="F235" t="s">
        <v>60</v>
      </c>
      <c r="G235" t="s">
        <v>28</v>
      </c>
      <c r="H235" t="s">
        <v>29</v>
      </c>
      <c r="I235">
        <v>1275</v>
      </c>
      <c r="J235">
        <v>5</v>
      </c>
      <c r="K235">
        <v>4.5</v>
      </c>
      <c r="L235">
        <v>3</v>
      </c>
      <c r="M235" t="s">
        <v>126</v>
      </c>
    </row>
    <row r="236" spans="1:13" x14ac:dyDescent="0.3">
      <c r="A236" t="s">
        <v>498</v>
      </c>
      <c r="B236" t="s">
        <v>181</v>
      </c>
      <c r="C236" t="s">
        <v>40</v>
      </c>
      <c r="D236" t="s">
        <v>69</v>
      </c>
      <c r="E236" t="s">
        <v>26</v>
      </c>
      <c r="F236" t="s">
        <v>18</v>
      </c>
      <c r="G236" t="s">
        <v>104</v>
      </c>
      <c r="H236" t="s">
        <v>29</v>
      </c>
      <c r="I236">
        <v>16056</v>
      </c>
      <c r="J236">
        <v>8</v>
      </c>
      <c r="K236">
        <v>4.5999999999999996</v>
      </c>
      <c r="L236">
        <v>1</v>
      </c>
      <c r="M236" t="s">
        <v>87</v>
      </c>
    </row>
    <row r="237" spans="1:13" x14ac:dyDescent="0.3">
      <c r="A237" t="s">
        <v>499</v>
      </c>
      <c r="B237" t="s">
        <v>420</v>
      </c>
      <c r="C237" t="s">
        <v>15</v>
      </c>
      <c r="D237" t="s">
        <v>16</v>
      </c>
      <c r="E237" t="s">
        <v>17</v>
      </c>
      <c r="F237" t="s">
        <v>60</v>
      </c>
      <c r="G237" t="s">
        <v>19</v>
      </c>
      <c r="H237" t="s">
        <v>64</v>
      </c>
      <c r="I237">
        <v>3204</v>
      </c>
      <c r="J237">
        <v>3</v>
      </c>
      <c r="K237">
        <v>3.8</v>
      </c>
      <c r="L237">
        <v>8</v>
      </c>
      <c r="M237" t="s">
        <v>126</v>
      </c>
    </row>
    <row r="238" spans="1:13" x14ac:dyDescent="0.3">
      <c r="A238" t="s">
        <v>500</v>
      </c>
      <c r="B238" t="s">
        <v>181</v>
      </c>
      <c r="C238" t="s">
        <v>40</v>
      </c>
      <c r="D238" t="s">
        <v>147</v>
      </c>
      <c r="E238" t="s">
        <v>52</v>
      </c>
      <c r="F238" t="s">
        <v>83</v>
      </c>
      <c r="G238" t="s">
        <v>54</v>
      </c>
      <c r="H238" t="s">
        <v>36</v>
      </c>
      <c r="I238">
        <v>6168</v>
      </c>
      <c r="J238">
        <v>6</v>
      </c>
      <c r="K238">
        <v>3.7</v>
      </c>
      <c r="L238">
        <v>5</v>
      </c>
      <c r="M238" t="s">
        <v>87</v>
      </c>
    </row>
    <row r="239" spans="1:13" x14ac:dyDescent="0.3">
      <c r="A239" t="s">
        <v>501</v>
      </c>
      <c r="B239" t="s">
        <v>356</v>
      </c>
      <c r="C239" t="s">
        <v>179</v>
      </c>
      <c r="D239" t="s">
        <v>90</v>
      </c>
      <c r="E239" t="s">
        <v>42</v>
      </c>
      <c r="F239" t="s">
        <v>18</v>
      </c>
      <c r="G239" t="s">
        <v>54</v>
      </c>
      <c r="H239" t="s">
        <v>20</v>
      </c>
      <c r="I239">
        <v>1417</v>
      </c>
      <c r="J239">
        <v>1</v>
      </c>
      <c r="K239">
        <v>4.7</v>
      </c>
      <c r="L239">
        <v>8</v>
      </c>
      <c r="M239" t="s">
        <v>80</v>
      </c>
    </row>
    <row r="240" spans="1:13" x14ac:dyDescent="0.3">
      <c r="A240" t="s">
        <v>502</v>
      </c>
      <c r="B240" t="s">
        <v>503</v>
      </c>
      <c r="C240" t="s">
        <v>75</v>
      </c>
      <c r="D240" t="s">
        <v>109</v>
      </c>
      <c r="E240" t="s">
        <v>52</v>
      </c>
      <c r="F240" t="s">
        <v>27</v>
      </c>
      <c r="G240" t="s">
        <v>28</v>
      </c>
      <c r="H240" t="s">
        <v>20</v>
      </c>
      <c r="I240">
        <v>12104</v>
      </c>
      <c r="J240">
        <v>8</v>
      </c>
      <c r="K240">
        <v>4.8</v>
      </c>
      <c r="L240">
        <v>5</v>
      </c>
      <c r="M240" t="s">
        <v>87</v>
      </c>
    </row>
    <row r="241" spans="1:13" x14ac:dyDescent="0.3">
      <c r="A241" t="s">
        <v>504</v>
      </c>
      <c r="B241" t="s">
        <v>505</v>
      </c>
      <c r="C241" t="s">
        <v>58</v>
      </c>
      <c r="D241" t="s">
        <v>97</v>
      </c>
      <c r="E241" t="s">
        <v>35</v>
      </c>
      <c r="F241" t="s">
        <v>18</v>
      </c>
      <c r="G241" t="s">
        <v>19</v>
      </c>
      <c r="H241" t="s">
        <v>36</v>
      </c>
      <c r="I241">
        <v>111030</v>
      </c>
      <c r="J241">
        <v>3</v>
      </c>
      <c r="K241">
        <v>3.7</v>
      </c>
      <c r="L241">
        <v>5</v>
      </c>
      <c r="M241" t="s">
        <v>55</v>
      </c>
    </row>
    <row r="242" spans="1:13" x14ac:dyDescent="0.3">
      <c r="A242" t="s">
        <v>506</v>
      </c>
      <c r="B242" t="s">
        <v>507</v>
      </c>
      <c r="C242" t="s">
        <v>78</v>
      </c>
      <c r="D242" t="s">
        <v>218</v>
      </c>
      <c r="E242" t="s">
        <v>17</v>
      </c>
      <c r="F242" t="s">
        <v>27</v>
      </c>
      <c r="G242" t="s">
        <v>28</v>
      </c>
      <c r="H242" t="s">
        <v>20</v>
      </c>
      <c r="I242">
        <v>10549</v>
      </c>
      <c r="J242">
        <v>7</v>
      </c>
      <c r="K242">
        <v>4.7</v>
      </c>
      <c r="L242">
        <v>7</v>
      </c>
      <c r="M242" t="s">
        <v>30</v>
      </c>
    </row>
    <row r="243" spans="1:13" x14ac:dyDescent="0.3">
      <c r="A243" t="s">
        <v>508</v>
      </c>
      <c r="B243" t="s">
        <v>290</v>
      </c>
      <c r="C243" t="s">
        <v>68</v>
      </c>
      <c r="D243" t="s">
        <v>46</v>
      </c>
      <c r="E243" t="s">
        <v>42</v>
      </c>
      <c r="F243" t="s">
        <v>60</v>
      </c>
      <c r="G243" t="s">
        <v>19</v>
      </c>
      <c r="H243" t="s">
        <v>20</v>
      </c>
      <c r="I243">
        <v>37653</v>
      </c>
      <c r="J243">
        <v>7</v>
      </c>
      <c r="K243">
        <v>4.5999999999999996</v>
      </c>
      <c r="L243">
        <v>3</v>
      </c>
      <c r="M243" t="s">
        <v>87</v>
      </c>
    </row>
    <row r="244" spans="1:13" x14ac:dyDescent="0.3">
      <c r="A244" t="s">
        <v>509</v>
      </c>
      <c r="B244" t="s">
        <v>510</v>
      </c>
      <c r="C244" t="s">
        <v>170</v>
      </c>
      <c r="D244" t="s">
        <v>63</v>
      </c>
      <c r="E244" t="s">
        <v>52</v>
      </c>
      <c r="F244" t="s">
        <v>27</v>
      </c>
      <c r="G244" t="s">
        <v>54</v>
      </c>
      <c r="H244" t="s">
        <v>36</v>
      </c>
      <c r="I244">
        <v>570</v>
      </c>
      <c r="J244">
        <v>1</v>
      </c>
      <c r="K244">
        <v>3.5</v>
      </c>
      <c r="L244">
        <v>5</v>
      </c>
      <c r="M244" t="s">
        <v>80</v>
      </c>
    </row>
    <row r="245" spans="1:13" x14ac:dyDescent="0.3">
      <c r="A245" t="s">
        <v>511</v>
      </c>
      <c r="B245" t="s">
        <v>39</v>
      </c>
      <c r="C245" t="s">
        <v>68</v>
      </c>
      <c r="D245" t="s">
        <v>90</v>
      </c>
      <c r="E245" t="s">
        <v>42</v>
      </c>
      <c r="F245" t="s">
        <v>60</v>
      </c>
      <c r="G245" t="s">
        <v>19</v>
      </c>
      <c r="H245" t="s">
        <v>20</v>
      </c>
      <c r="I245">
        <v>4806</v>
      </c>
      <c r="J245">
        <v>6</v>
      </c>
      <c r="K245">
        <v>4.3</v>
      </c>
      <c r="L245">
        <v>7</v>
      </c>
      <c r="M245" t="s">
        <v>30</v>
      </c>
    </row>
    <row r="246" spans="1:13" x14ac:dyDescent="0.3">
      <c r="A246" t="s">
        <v>512</v>
      </c>
      <c r="B246" t="s">
        <v>111</v>
      </c>
      <c r="C246" t="s">
        <v>58</v>
      </c>
      <c r="D246" t="s">
        <v>25</v>
      </c>
      <c r="E246" t="s">
        <v>26</v>
      </c>
      <c r="F246" t="s">
        <v>100</v>
      </c>
      <c r="G246" t="s">
        <v>28</v>
      </c>
      <c r="H246" t="s">
        <v>36</v>
      </c>
      <c r="I246">
        <v>10254</v>
      </c>
      <c r="J246">
        <v>2</v>
      </c>
      <c r="K246">
        <v>3.9</v>
      </c>
      <c r="L246">
        <v>8</v>
      </c>
      <c r="M246" t="s">
        <v>87</v>
      </c>
    </row>
    <row r="247" spans="1:13" x14ac:dyDescent="0.3">
      <c r="A247" t="s">
        <v>513</v>
      </c>
      <c r="B247" t="s">
        <v>514</v>
      </c>
      <c r="C247" t="s">
        <v>125</v>
      </c>
      <c r="D247" t="s">
        <v>109</v>
      </c>
      <c r="E247" t="s">
        <v>52</v>
      </c>
      <c r="F247" t="s">
        <v>53</v>
      </c>
      <c r="G247" t="s">
        <v>104</v>
      </c>
      <c r="H247" t="s">
        <v>36</v>
      </c>
      <c r="I247">
        <v>5685</v>
      </c>
      <c r="J247">
        <v>3</v>
      </c>
      <c r="K247">
        <v>4.4000000000000004</v>
      </c>
      <c r="L247">
        <v>1</v>
      </c>
      <c r="M247" t="s">
        <v>55</v>
      </c>
    </row>
    <row r="248" spans="1:13" x14ac:dyDescent="0.3">
      <c r="A248" t="s">
        <v>515</v>
      </c>
      <c r="B248" t="s">
        <v>516</v>
      </c>
      <c r="C248" t="s">
        <v>170</v>
      </c>
      <c r="D248" t="s">
        <v>130</v>
      </c>
      <c r="E248" t="s">
        <v>35</v>
      </c>
      <c r="F248" t="s">
        <v>53</v>
      </c>
      <c r="G248" t="s">
        <v>28</v>
      </c>
      <c r="H248" t="s">
        <v>36</v>
      </c>
      <c r="I248">
        <v>161890</v>
      </c>
      <c r="J248">
        <v>5</v>
      </c>
      <c r="K248">
        <v>5</v>
      </c>
      <c r="L248">
        <v>8</v>
      </c>
      <c r="M248" t="s">
        <v>126</v>
      </c>
    </row>
    <row r="249" spans="1:13" x14ac:dyDescent="0.3">
      <c r="A249" t="s">
        <v>517</v>
      </c>
      <c r="B249" t="s">
        <v>57</v>
      </c>
      <c r="C249" t="s">
        <v>40</v>
      </c>
      <c r="D249" t="s">
        <v>51</v>
      </c>
      <c r="E249" t="s">
        <v>52</v>
      </c>
      <c r="F249" t="s">
        <v>27</v>
      </c>
      <c r="G249" t="s">
        <v>28</v>
      </c>
      <c r="H249" t="s">
        <v>20</v>
      </c>
      <c r="I249">
        <v>16555</v>
      </c>
      <c r="J249">
        <v>7</v>
      </c>
      <c r="K249">
        <v>4.5999999999999996</v>
      </c>
      <c r="L249">
        <v>2</v>
      </c>
      <c r="M249" t="s">
        <v>37</v>
      </c>
    </row>
    <row r="250" spans="1:13" x14ac:dyDescent="0.3">
      <c r="A250" t="s">
        <v>518</v>
      </c>
      <c r="B250" t="s">
        <v>519</v>
      </c>
      <c r="C250" t="s">
        <v>179</v>
      </c>
      <c r="D250" t="s">
        <v>25</v>
      </c>
      <c r="E250" t="s">
        <v>26</v>
      </c>
      <c r="F250" t="s">
        <v>53</v>
      </c>
      <c r="G250" t="s">
        <v>104</v>
      </c>
      <c r="H250" t="s">
        <v>64</v>
      </c>
      <c r="I250">
        <v>33112</v>
      </c>
      <c r="J250">
        <v>4</v>
      </c>
      <c r="K250">
        <v>3.3</v>
      </c>
      <c r="L250">
        <v>6</v>
      </c>
      <c r="M250" t="s">
        <v>80</v>
      </c>
    </row>
    <row r="251" spans="1:13" x14ac:dyDescent="0.3">
      <c r="A251" t="s">
        <v>520</v>
      </c>
      <c r="B251" t="s">
        <v>521</v>
      </c>
      <c r="C251" t="s">
        <v>125</v>
      </c>
      <c r="D251" t="s">
        <v>69</v>
      </c>
      <c r="E251" t="s">
        <v>26</v>
      </c>
      <c r="F251" t="s">
        <v>100</v>
      </c>
      <c r="G251" t="s">
        <v>104</v>
      </c>
      <c r="H251" t="s">
        <v>29</v>
      </c>
      <c r="I251">
        <v>17616</v>
      </c>
      <c r="J251">
        <v>2</v>
      </c>
      <c r="K251">
        <v>4.3</v>
      </c>
      <c r="L251">
        <v>3</v>
      </c>
      <c r="M251" t="s">
        <v>192</v>
      </c>
    </row>
    <row r="252" spans="1:13" x14ac:dyDescent="0.3">
      <c r="A252" t="s">
        <v>522</v>
      </c>
      <c r="B252" t="s">
        <v>523</v>
      </c>
      <c r="C252" t="s">
        <v>122</v>
      </c>
      <c r="D252" t="s">
        <v>109</v>
      </c>
      <c r="E252" t="s">
        <v>52</v>
      </c>
      <c r="F252" t="s">
        <v>27</v>
      </c>
      <c r="G252" t="s">
        <v>19</v>
      </c>
      <c r="H252" t="s">
        <v>20</v>
      </c>
      <c r="I252">
        <v>724</v>
      </c>
      <c r="J252">
        <v>2</v>
      </c>
      <c r="K252">
        <v>4.7</v>
      </c>
      <c r="L252">
        <v>4</v>
      </c>
      <c r="M252" t="s">
        <v>119</v>
      </c>
    </row>
    <row r="253" spans="1:13" x14ac:dyDescent="0.3">
      <c r="A253" t="s">
        <v>524</v>
      </c>
      <c r="B253" t="s">
        <v>525</v>
      </c>
      <c r="C253" t="s">
        <v>122</v>
      </c>
      <c r="D253" t="s">
        <v>97</v>
      </c>
      <c r="E253" t="s">
        <v>35</v>
      </c>
      <c r="F253" t="s">
        <v>53</v>
      </c>
      <c r="G253" t="s">
        <v>104</v>
      </c>
      <c r="H253" t="s">
        <v>29</v>
      </c>
      <c r="I253">
        <v>64640</v>
      </c>
      <c r="J253">
        <v>1</v>
      </c>
      <c r="K253">
        <v>3.5</v>
      </c>
      <c r="L253">
        <v>1</v>
      </c>
      <c r="M253" t="s">
        <v>65</v>
      </c>
    </row>
    <row r="254" spans="1:13" x14ac:dyDescent="0.3">
      <c r="A254" t="s">
        <v>526</v>
      </c>
      <c r="B254" t="s">
        <v>527</v>
      </c>
      <c r="C254" t="s">
        <v>58</v>
      </c>
      <c r="D254" t="s">
        <v>90</v>
      </c>
      <c r="E254" t="s">
        <v>42</v>
      </c>
      <c r="F254" t="s">
        <v>18</v>
      </c>
      <c r="G254" t="s">
        <v>54</v>
      </c>
      <c r="H254" t="s">
        <v>29</v>
      </c>
      <c r="I254">
        <v>25400</v>
      </c>
      <c r="J254">
        <v>8</v>
      </c>
      <c r="K254">
        <v>4.0999999999999996</v>
      </c>
      <c r="L254">
        <v>7</v>
      </c>
      <c r="M254" t="s">
        <v>126</v>
      </c>
    </row>
    <row r="255" spans="1:13" x14ac:dyDescent="0.3">
      <c r="A255" t="s">
        <v>528</v>
      </c>
      <c r="B255" t="s">
        <v>187</v>
      </c>
      <c r="C255" t="s">
        <v>103</v>
      </c>
      <c r="D255" t="s">
        <v>59</v>
      </c>
      <c r="E255" t="s">
        <v>26</v>
      </c>
      <c r="F255" t="s">
        <v>27</v>
      </c>
      <c r="G255" t="s">
        <v>104</v>
      </c>
      <c r="H255" t="s">
        <v>20</v>
      </c>
      <c r="I255">
        <v>22590</v>
      </c>
      <c r="J255">
        <v>2</v>
      </c>
      <c r="K255">
        <v>3.8</v>
      </c>
      <c r="L255">
        <v>5</v>
      </c>
      <c r="M255" t="s">
        <v>126</v>
      </c>
    </row>
    <row r="256" spans="1:13" x14ac:dyDescent="0.3">
      <c r="A256" t="s">
        <v>529</v>
      </c>
      <c r="B256" t="s">
        <v>530</v>
      </c>
      <c r="C256" t="s">
        <v>103</v>
      </c>
      <c r="D256" t="s">
        <v>63</v>
      </c>
      <c r="E256" t="s">
        <v>52</v>
      </c>
      <c r="F256" t="s">
        <v>60</v>
      </c>
      <c r="G256" t="s">
        <v>28</v>
      </c>
      <c r="H256" t="s">
        <v>64</v>
      </c>
      <c r="I256">
        <v>10913</v>
      </c>
      <c r="J256">
        <v>7</v>
      </c>
      <c r="K256">
        <v>4.0999999999999996</v>
      </c>
      <c r="L256">
        <v>5</v>
      </c>
      <c r="M256" t="s">
        <v>144</v>
      </c>
    </row>
    <row r="257" spans="1:13" x14ac:dyDescent="0.3">
      <c r="A257" t="s">
        <v>531</v>
      </c>
      <c r="B257" t="s">
        <v>420</v>
      </c>
      <c r="C257" t="s">
        <v>78</v>
      </c>
      <c r="D257" t="s">
        <v>86</v>
      </c>
      <c r="E257" t="s">
        <v>17</v>
      </c>
      <c r="F257" t="s">
        <v>83</v>
      </c>
      <c r="G257" t="s">
        <v>104</v>
      </c>
      <c r="H257" t="s">
        <v>36</v>
      </c>
      <c r="I257">
        <v>6820</v>
      </c>
      <c r="J257">
        <v>4</v>
      </c>
      <c r="K257">
        <v>3.7</v>
      </c>
      <c r="L257">
        <v>3</v>
      </c>
      <c r="M257" t="s">
        <v>126</v>
      </c>
    </row>
    <row r="258" spans="1:13" x14ac:dyDescent="0.3">
      <c r="A258" t="s">
        <v>532</v>
      </c>
      <c r="B258" t="s">
        <v>533</v>
      </c>
      <c r="C258" t="s">
        <v>133</v>
      </c>
      <c r="D258" t="s">
        <v>159</v>
      </c>
      <c r="E258" t="s">
        <v>42</v>
      </c>
      <c r="F258" t="s">
        <v>53</v>
      </c>
      <c r="G258" t="s">
        <v>104</v>
      </c>
      <c r="H258" t="s">
        <v>29</v>
      </c>
      <c r="I258">
        <v>7560</v>
      </c>
      <c r="J258">
        <v>3</v>
      </c>
      <c r="K258">
        <v>3.6</v>
      </c>
      <c r="L258">
        <v>5</v>
      </c>
      <c r="M258" t="s">
        <v>21</v>
      </c>
    </row>
    <row r="259" spans="1:13" x14ac:dyDescent="0.3">
      <c r="A259" t="s">
        <v>534</v>
      </c>
      <c r="B259" t="s">
        <v>172</v>
      </c>
      <c r="C259" t="s">
        <v>112</v>
      </c>
      <c r="D259" t="s">
        <v>59</v>
      </c>
      <c r="E259" t="s">
        <v>26</v>
      </c>
      <c r="F259" t="s">
        <v>18</v>
      </c>
      <c r="G259" t="s">
        <v>28</v>
      </c>
      <c r="H259" t="s">
        <v>29</v>
      </c>
      <c r="I259">
        <v>21936</v>
      </c>
      <c r="J259">
        <v>2</v>
      </c>
      <c r="K259">
        <v>3.3</v>
      </c>
      <c r="L259">
        <v>4</v>
      </c>
      <c r="M259" t="s">
        <v>47</v>
      </c>
    </row>
    <row r="260" spans="1:13" x14ac:dyDescent="0.3">
      <c r="A260" t="s">
        <v>535</v>
      </c>
      <c r="B260" t="s">
        <v>536</v>
      </c>
      <c r="C260" t="s">
        <v>75</v>
      </c>
      <c r="D260" t="s">
        <v>41</v>
      </c>
      <c r="E260" t="s">
        <v>42</v>
      </c>
      <c r="F260" t="s">
        <v>60</v>
      </c>
      <c r="G260" t="s">
        <v>104</v>
      </c>
      <c r="H260" t="s">
        <v>20</v>
      </c>
      <c r="I260">
        <v>16092</v>
      </c>
      <c r="J260">
        <v>3</v>
      </c>
      <c r="K260">
        <v>3.5</v>
      </c>
      <c r="L260">
        <v>3</v>
      </c>
      <c r="M260" t="s">
        <v>80</v>
      </c>
    </row>
    <row r="261" spans="1:13" x14ac:dyDescent="0.3">
      <c r="A261" t="s">
        <v>537</v>
      </c>
      <c r="B261" t="s">
        <v>538</v>
      </c>
      <c r="C261" t="s">
        <v>72</v>
      </c>
      <c r="D261" t="s">
        <v>113</v>
      </c>
      <c r="E261" t="s">
        <v>35</v>
      </c>
      <c r="F261" t="s">
        <v>100</v>
      </c>
      <c r="G261" t="s">
        <v>28</v>
      </c>
      <c r="H261" t="s">
        <v>64</v>
      </c>
      <c r="I261">
        <v>196792</v>
      </c>
      <c r="J261">
        <v>8</v>
      </c>
      <c r="K261">
        <v>4.0999999999999996</v>
      </c>
      <c r="L261">
        <v>2</v>
      </c>
      <c r="M261" t="s">
        <v>144</v>
      </c>
    </row>
    <row r="262" spans="1:13" x14ac:dyDescent="0.3">
      <c r="A262" t="s">
        <v>539</v>
      </c>
      <c r="B262" t="s">
        <v>446</v>
      </c>
      <c r="C262" t="s">
        <v>112</v>
      </c>
      <c r="D262" t="s">
        <v>90</v>
      </c>
      <c r="E262" t="s">
        <v>42</v>
      </c>
      <c r="F262" t="s">
        <v>83</v>
      </c>
      <c r="G262" t="s">
        <v>54</v>
      </c>
      <c r="H262" t="s">
        <v>36</v>
      </c>
      <c r="I262">
        <v>16331</v>
      </c>
      <c r="J262">
        <v>7</v>
      </c>
      <c r="K262">
        <v>4.9000000000000004</v>
      </c>
      <c r="L262">
        <v>6</v>
      </c>
      <c r="M262" t="s">
        <v>65</v>
      </c>
    </row>
    <row r="263" spans="1:13" x14ac:dyDescent="0.3">
      <c r="A263" t="s">
        <v>540</v>
      </c>
      <c r="B263" t="s">
        <v>199</v>
      </c>
      <c r="C263" t="s">
        <v>75</v>
      </c>
      <c r="D263" t="s">
        <v>63</v>
      </c>
      <c r="E263" t="s">
        <v>52</v>
      </c>
      <c r="F263" t="s">
        <v>18</v>
      </c>
      <c r="G263" t="s">
        <v>104</v>
      </c>
      <c r="H263" t="s">
        <v>29</v>
      </c>
      <c r="I263">
        <v>4668</v>
      </c>
      <c r="J263">
        <v>6</v>
      </c>
      <c r="K263">
        <v>4.3</v>
      </c>
      <c r="L263">
        <v>3</v>
      </c>
      <c r="M263" t="s">
        <v>119</v>
      </c>
    </row>
    <row r="264" spans="1:13" x14ac:dyDescent="0.3">
      <c r="A264" t="s">
        <v>541</v>
      </c>
      <c r="B264" t="s">
        <v>391</v>
      </c>
      <c r="C264" t="s">
        <v>15</v>
      </c>
      <c r="D264" t="s">
        <v>46</v>
      </c>
      <c r="E264" t="s">
        <v>42</v>
      </c>
      <c r="F264" t="s">
        <v>83</v>
      </c>
      <c r="G264" t="s">
        <v>19</v>
      </c>
      <c r="H264" t="s">
        <v>20</v>
      </c>
      <c r="I264">
        <v>6729</v>
      </c>
      <c r="J264">
        <v>3</v>
      </c>
      <c r="K264">
        <v>4.9000000000000004</v>
      </c>
      <c r="L264">
        <v>7</v>
      </c>
      <c r="M264" t="s">
        <v>47</v>
      </c>
    </row>
    <row r="265" spans="1:13" x14ac:dyDescent="0.3">
      <c r="A265" t="s">
        <v>542</v>
      </c>
      <c r="B265" t="s">
        <v>543</v>
      </c>
      <c r="C265" t="s">
        <v>45</v>
      </c>
      <c r="D265" t="s">
        <v>147</v>
      </c>
      <c r="E265" t="s">
        <v>52</v>
      </c>
      <c r="F265" t="s">
        <v>18</v>
      </c>
      <c r="G265" t="s">
        <v>54</v>
      </c>
      <c r="H265" t="s">
        <v>36</v>
      </c>
      <c r="I265">
        <v>5253</v>
      </c>
      <c r="J265">
        <v>3</v>
      </c>
      <c r="K265">
        <v>3.7</v>
      </c>
      <c r="L265">
        <v>1</v>
      </c>
      <c r="M265" t="s">
        <v>30</v>
      </c>
    </row>
    <row r="266" spans="1:13" x14ac:dyDescent="0.3">
      <c r="A266" t="s">
        <v>544</v>
      </c>
      <c r="B266" t="s">
        <v>545</v>
      </c>
      <c r="C266" t="s">
        <v>15</v>
      </c>
      <c r="D266" t="s">
        <v>16</v>
      </c>
      <c r="E266" t="s">
        <v>17</v>
      </c>
      <c r="F266" t="s">
        <v>53</v>
      </c>
      <c r="G266" t="s">
        <v>28</v>
      </c>
      <c r="H266" t="s">
        <v>36</v>
      </c>
      <c r="I266">
        <v>8624</v>
      </c>
      <c r="J266">
        <v>8</v>
      </c>
      <c r="K266">
        <v>4.5</v>
      </c>
      <c r="L266">
        <v>4</v>
      </c>
      <c r="M266" t="s">
        <v>47</v>
      </c>
    </row>
    <row r="267" spans="1:13" x14ac:dyDescent="0.3">
      <c r="A267" t="s">
        <v>546</v>
      </c>
      <c r="B267" t="s">
        <v>547</v>
      </c>
      <c r="C267" t="s">
        <v>125</v>
      </c>
      <c r="D267" t="s">
        <v>59</v>
      </c>
      <c r="E267" t="s">
        <v>26</v>
      </c>
      <c r="F267" t="s">
        <v>83</v>
      </c>
      <c r="G267" t="s">
        <v>19</v>
      </c>
      <c r="H267" t="s">
        <v>29</v>
      </c>
      <c r="I267">
        <v>8184</v>
      </c>
      <c r="J267">
        <v>3</v>
      </c>
      <c r="K267">
        <v>3.7</v>
      </c>
      <c r="L267">
        <v>2</v>
      </c>
      <c r="M267" t="s">
        <v>192</v>
      </c>
    </row>
    <row r="268" spans="1:13" x14ac:dyDescent="0.3">
      <c r="A268" t="s">
        <v>548</v>
      </c>
      <c r="B268" t="s">
        <v>549</v>
      </c>
      <c r="C268" t="s">
        <v>170</v>
      </c>
      <c r="D268" t="s">
        <v>79</v>
      </c>
      <c r="E268" t="s">
        <v>26</v>
      </c>
      <c r="F268" t="s">
        <v>83</v>
      </c>
      <c r="G268" t="s">
        <v>54</v>
      </c>
      <c r="H268" t="s">
        <v>36</v>
      </c>
      <c r="I268">
        <v>62524</v>
      </c>
      <c r="J268">
        <v>7</v>
      </c>
      <c r="K268">
        <v>4.8</v>
      </c>
      <c r="L268">
        <v>8</v>
      </c>
      <c r="M268" t="s">
        <v>55</v>
      </c>
    </row>
    <row r="269" spans="1:13" x14ac:dyDescent="0.3">
      <c r="A269" t="s">
        <v>550</v>
      </c>
      <c r="B269" t="s">
        <v>252</v>
      </c>
      <c r="C269" t="s">
        <v>146</v>
      </c>
      <c r="D269" t="s">
        <v>16</v>
      </c>
      <c r="E269" t="s">
        <v>17</v>
      </c>
      <c r="F269" t="s">
        <v>53</v>
      </c>
      <c r="G269" t="s">
        <v>104</v>
      </c>
      <c r="H269" t="s">
        <v>64</v>
      </c>
      <c r="I269">
        <v>4840</v>
      </c>
      <c r="J269">
        <v>8</v>
      </c>
      <c r="K269">
        <v>4.8</v>
      </c>
      <c r="L269">
        <v>4</v>
      </c>
      <c r="M269" t="s">
        <v>30</v>
      </c>
    </row>
    <row r="270" spans="1:13" x14ac:dyDescent="0.3">
      <c r="A270" t="s">
        <v>551</v>
      </c>
      <c r="B270" t="s">
        <v>350</v>
      </c>
      <c r="C270" t="s">
        <v>15</v>
      </c>
      <c r="D270" t="s">
        <v>16</v>
      </c>
      <c r="E270" t="s">
        <v>17</v>
      </c>
      <c r="F270" t="s">
        <v>83</v>
      </c>
      <c r="G270" t="s">
        <v>19</v>
      </c>
      <c r="H270" t="s">
        <v>29</v>
      </c>
      <c r="I270">
        <v>895</v>
      </c>
      <c r="J270">
        <v>1</v>
      </c>
      <c r="K270">
        <v>3.4</v>
      </c>
      <c r="L270">
        <v>1</v>
      </c>
      <c r="M270" t="s">
        <v>80</v>
      </c>
    </row>
    <row r="271" spans="1:13" x14ac:dyDescent="0.3">
      <c r="A271" t="s">
        <v>552</v>
      </c>
      <c r="B271" t="s">
        <v>547</v>
      </c>
      <c r="C271" t="s">
        <v>103</v>
      </c>
      <c r="D271" t="s">
        <v>97</v>
      </c>
      <c r="E271" t="s">
        <v>35</v>
      </c>
      <c r="F271" t="s">
        <v>60</v>
      </c>
      <c r="G271" t="s">
        <v>28</v>
      </c>
      <c r="H271" t="s">
        <v>64</v>
      </c>
      <c r="I271">
        <v>237105</v>
      </c>
      <c r="J271">
        <v>5</v>
      </c>
      <c r="K271">
        <v>3.9</v>
      </c>
      <c r="L271">
        <v>8</v>
      </c>
      <c r="M271" t="s">
        <v>192</v>
      </c>
    </row>
    <row r="272" spans="1:13" x14ac:dyDescent="0.3">
      <c r="A272" t="s">
        <v>553</v>
      </c>
      <c r="B272" t="s">
        <v>106</v>
      </c>
      <c r="C272" t="s">
        <v>24</v>
      </c>
      <c r="D272" t="s">
        <v>147</v>
      </c>
      <c r="E272" t="s">
        <v>52</v>
      </c>
      <c r="F272" t="s">
        <v>100</v>
      </c>
      <c r="G272" t="s">
        <v>28</v>
      </c>
      <c r="H272" t="s">
        <v>29</v>
      </c>
      <c r="I272">
        <v>674</v>
      </c>
      <c r="J272">
        <v>1</v>
      </c>
      <c r="K272">
        <v>4.5999999999999996</v>
      </c>
      <c r="L272">
        <v>8</v>
      </c>
      <c r="M272" t="s">
        <v>80</v>
      </c>
    </row>
    <row r="273" spans="1:13" x14ac:dyDescent="0.3">
      <c r="A273" t="s">
        <v>554</v>
      </c>
      <c r="B273" t="s">
        <v>555</v>
      </c>
      <c r="C273" t="s">
        <v>170</v>
      </c>
      <c r="D273" t="s">
        <v>25</v>
      </c>
      <c r="E273" t="s">
        <v>26</v>
      </c>
      <c r="F273" t="s">
        <v>18</v>
      </c>
      <c r="G273" t="s">
        <v>19</v>
      </c>
      <c r="H273" t="s">
        <v>29</v>
      </c>
      <c r="I273">
        <v>24060</v>
      </c>
      <c r="J273">
        <v>3</v>
      </c>
      <c r="K273">
        <v>3.3</v>
      </c>
      <c r="L273">
        <v>5</v>
      </c>
      <c r="M273" t="s">
        <v>119</v>
      </c>
    </row>
    <row r="274" spans="1:13" x14ac:dyDescent="0.3">
      <c r="A274" t="s">
        <v>556</v>
      </c>
      <c r="B274" t="s">
        <v>557</v>
      </c>
      <c r="C274" t="s">
        <v>15</v>
      </c>
      <c r="D274" t="s">
        <v>25</v>
      </c>
      <c r="E274" t="s">
        <v>26</v>
      </c>
      <c r="F274" t="s">
        <v>27</v>
      </c>
      <c r="G274" t="s">
        <v>19</v>
      </c>
      <c r="H274" t="s">
        <v>64</v>
      </c>
      <c r="I274">
        <v>39788</v>
      </c>
      <c r="J274">
        <v>4</v>
      </c>
      <c r="K274">
        <v>4.8</v>
      </c>
      <c r="L274">
        <v>1</v>
      </c>
      <c r="M274" t="s">
        <v>47</v>
      </c>
    </row>
    <row r="275" spans="1:13" x14ac:dyDescent="0.3">
      <c r="A275" t="s">
        <v>558</v>
      </c>
      <c r="B275" t="s">
        <v>559</v>
      </c>
      <c r="C275" t="s">
        <v>50</v>
      </c>
      <c r="D275" t="s">
        <v>159</v>
      </c>
      <c r="E275" t="s">
        <v>42</v>
      </c>
      <c r="F275" t="s">
        <v>83</v>
      </c>
      <c r="G275" t="s">
        <v>54</v>
      </c>
      <c r="H275" t="s">
        <v>64</v>
      </c>
      <c r="I275">
        <v>23824</v>
      </c>
      <c r="J275">
        <v>8</v>
      </c>
      <c r="K275">
        <v>4.0999999999999996</v>
      </c>
      <c r="L275">
        <v>7</v>
      </c>
      <c r="M275" t="s">
        <v>87</v>
      </c>
    </row>
    <row r="276" spans="1:13" x14ac:dyDescent="0.3">
      <c r="A276" t="s">
        <v>560</v>
      </c>
      <c r="B276" t="s">
        <v>561</v>
      </c>
      <c r="C276" t="s">
        <v>133</v>
      </c>
      <c r="D276" t="s">
        <v>90</v>
      </c>
      <c r="E276" t="s">
        <v>42</v>
      </c>
      <c r="F276" t="s">
        <v>18</v>
      </c>
      <c r="G276" t="s">
        <v>54</v>
      </c>
      <c r="H276" t="s">
        <v>36</v>
      </c>
      <c r="I276">
        <v>38192</v>
      </c>
      <c r="J276">
        <v>8</v>
      </c>
      <c r="K276">
        <v>3.2</v>
      </c>
      <c r="L276">
        <v>7</v>
      </c>
      <c r="M276" t="s">
        <v>87</v>
      </c>
    </row>
    <row r="277" spans="1:13" x14ac:dyDescent="0.3">
      <c r="A277" t="s">
        <v>562</v>
      </c>
      <c r="B277" t="s">
        <v>62</v>
      </c>
      <c r="C277" t="s">
        <v>170</v>
      </c>
      <c r="D277" t="s">
        <v>59</v>
      </c>
      <c r="E277" t="s">
        <v>26</v>
      </c>
      <c r="F277" t="s">
        <v>100</v>
      </c>
      <c r="G277" t="s">
        <v>28</v>
      </c>
      <c r="H277" t="s">
        <v>29</v>
      </c>
      <c r="I277">
        <v>6756</v>
      </c>
      <c r="J277">
        <v>4</v>
      </c>
      <c r="K277">
        <v>4.7</v>
      </c>
      <c r="L277">
        <v>8</v>
      </c>
      <c r="M277" t="s">
        <v>65</v>
      </c>
    </row>
    <row r="278" spans="1:13" x14ac:dyDescent="0.3">
      <c r="A278" t="s">
        <v>563</v>
      </c>
      <c r="B278" t="s">
        <v>564</v>
      </c>
      <c r="C278" t="s">
        <v>68</v>
      </c>
      <c r="D278" t="s">
        <v>41</v>
      </c>
      <c r="E278" t="s">
        <v>42</v>
      </c>
      <c r="F278" t="s">
        <v>18</v>
      </c>
      <c r="G278" t="s">
        <v>19</v>
      </c>
      <c r="H278" t="s">
        <v>64</v>
      </c>
      <c r="I278">
        <v>23560</v>
      </c>
      <c r="J278">
        <v>4</v>
      </c>
      <c r="K278">
        <v>4.2</v>
      </c>
      <c r="L278">
        <v>6</v>
      </c>
      <c r="M278" t="s">
        <v>87</v>
      </c>
    </row>
    <row r="279" spans="1:13" x14ac:dyDescent="0.3">
      <c r="A279" t="s">
        <v>565</v>
      </c>
      <c r="B279" t="s">
        <v>111</v>
      </c>
      <c r="C279" t="s">
        <v>170</v>
      </c>
      <c r="D279" t="s">
        <v>51</v>
      </c>
      <c r="E279" t="s">
        <v>52</v>
      </c>
      <c r="F279" t="s">
        <v>18</v>
      </c>
      <c r="G279" t="s">
        <v>28</v>
      </c>
      <c r="H279" t="s">
        <v>36</v>
      </c>
      <c r="I279">
        <v>5260</v>
      </c>
      <c r="J279">
        <v>5</v>
      </c>
      <c r="K279">
        <v>3.6</v>
      </c>
      <c r="L279">
        <v>4</v>
      </c>
      <c r="M279" t="s">
        <v>87</v>
      </c>
    </row>
    <row r="280" spans="1:13" x14ac:dyDescent="0.3">
      <c r="A280" t="s">
        <v>566</v>
      </c>
      <c r="B280" t="s">
        <v>396</v>
      </c>
      <c r="C280" t="s">
        <v>78</v>
      </c>
      <c r="D280" t="s">
        <v>25</v>
      </c>
      <c r="E280" t="s">
        <v>26</v>
      </c>
      <c r="F280" t="s">
        <v>60</v>
      </c>
      <c r="G280" t="s">
        <v>28</v>
      </c>
      <c r="H280" t="s">
        <v>20</v>
      </c>
      <c r="I280">
        <v>6968</v>
      </c>
      <c r="J280">
        <v>8</v>
      </c>
      <c r="K280">
        <v>4.2</v>
      </c>
      <c r="L280">
        <v>1</v>
      </c>
      <c r="M280" t="s">
        <v>47</v>
      </c>
    </row>
    <row r="281" spans="1:13" x14ac:dyDescent="0.3">
      <c r="A281" t="s">
        <v>567</v>
      </c>
      <c r="B281" t="s">
        <v>77</v>
      </c>
      <c r="C281" t="s">
        <v>103</v>
      </c>
      <c r="D281" t="s">
        <v>79</v>
      </c>
      <c r="E281" t="s">
        <v>26</v>
      </c>
      <c r="F281" t="s">
        <v>60</v>
      </c>
      <c r="G281" t="s">
        <v>104</v>
      </c>
      <c r="H281" t="s">
        <v>29</v>
      </c>
      <c r="I281">
        <v>15318</v>
      </c>
      <c r="J281">
        <v>2</v>
      </c>
      <c r="K281">
        <v>5</v>
      </c>
      <c r="L281">
        <v>4</v>
      </c>
      <c r="M281" t="s">
        <v>80</v>
      </c>
    </row>
    <row r="282" spans="1:13" x14ac:dyDescent="0.3">
      <c r="A282" t="s">
        <v>568</v>
      </c>
      <c r="B282" t="s">
        <v>385</v>
      </c>
      <c r="C282" t="s">
        <v>179</v>
      </c>
      <c r="D282" t="s">
        <v>159</v>
      </c>
      <c r="E282" t="s">
        <v>42</v>
      </c>
      <c r="F282" t="s">
        <v>83</v>
      </c>
      <c r="G282" t="s">
        <v>104</v>
      </c>
      <c r="H282" t="s">
        <v>29</v>
      </c>
      <c r="I282">
        <v>36309</v>
      </c>
      <c r="J282">
        <v>7</v>
      </c>
      <c r="K282">
        <v>4.5</v>
      </c>
      <c r="L282">
        <v>4</v>
      </c>
      <c r="M282" t="s">
        <v>80</v>
      </c>
    </row>
    <row r="283" spans="1:13" x14ac:dyDescent="0.3">
      <c r="A283" t="s">
        <v>569</v>
      </c>
      <c r="B283" t="s">
        <v>570</v>
      </c>
      <c r="C283" t="s">
        <v>78</v>
      </c>
      <c r="D283" t="s">
        <v>63</v>
      </c>
      <c r="E283" t="s">
        <v>52</v>
      </c>
      <c r="F283" t="s">
        <v>53</v>
      </c>
      <c r="G283" t="s">
        <v>28</v>
      </c>
      <c r="H283" t="s">
        <v>36</v>
      </c>
      <c r="I283">
        <v>4332</v>
      </c>
      <c r="J283">
        <v>6</v>
      </c>
      <c r="K283">
        <v>4.2</v>
      </c>
      <c r="L283">
        <v>7</v>
      </c>
      <c r="M283" t="s">
        <v>65</v>
      </c>
    </row>
    <row r="284" spans="1:13" x14ac:dyDescent="0.3">
      <c r="A284" t="s">
        <v>571</v>
      </c>
      <c r="B284" t="s">
        <v>143</v>
      </c>
      <c r="C284" t="s">
        <v>40</v>
      </c>
      <c r="D284" t="s">
        <v>25</v>
      </c>
      <c r="E284" t="s">
        <v>26</v>
      </c>
      <c r="F284" t="s">
        <v>27</v>
      </c>
      <c r="G284" t="s">
        <v>104</v>
      </c>
      <c r="H284" t="s">
        <v>20</v>
      </c>
      <c r="I284">
        <v>36218</v>
      </c>
      <c r="J284">
        <v>7</v>
      </c>
      <c r="K284">
        <v>4.5999999999999996</v>
      </c>
      <c r="L284">
        <v>3</v>
      </c>
      <c r="M284" t="s">
        <v>144</v>
      </c>
    </row>
    <row r="285" spans="1:13" x14ac:dyDescent="0.3">
      <c r="A285" t="s">
        <v>572</v>
      </c>
      <c r="B285" t="s">
        <v>573</v>
      </c>
      <c r="C285" t="s">
        <v>78</v>
      </c>
      <c r="D285" t="s">
        <v>218</v>
      </c>
      <c r="E285" t="s">
        <v>17</v>
      </c>
      <c r="F285" t="s">
        <v>60</v>
      </c>
      <c r="G285" t="s">
        <v>19</v>
      </c>
      <c r="H285" t="s">
        <v>29</v>
      </c>
      <c r="I285">
        <v>1034</v>
      </c>
      <c r="J285">
        <v>1</v>
      </c>
      <c r="K285">
        <v>4.5</v>
      </c>
      <c r="L285">
        <v>4</v>
      </c>
      <c r="M285" t="s">
        <v>37</v>
      </c>
    </row>
    <row r="286" spans="1:13" x14ac:dyDescent="0.3">
      <c r="A286" t="s">
        <v>574</v>
      </c>
      <c r="B286" t="s">
        <v>454</v>
      </c>
      <c r="C286" t="s">
        <v>45</v>
      </c>
      <c r="D286" t="s">
        <v>116</v>
      </c>
      <c r="E286" t="s">
        <v>17</v>
      </c>
      <c r="F286" t="s">
        <v>60</v>
      </c>
      <c r="G286" t="s">
        <v>19</v>
      </c>
      <c r="H286" t="s">
        <v>29</v>
      </c>
      <c r="I286">
        <v>11921</v>
      </c>
      <c r="J286">
        <v>7</v>
      </c>
      <c r="K286">
        <v>4.5</v>
      </c>
      <c r="L286">
        <v>4</v>
      </c>
      <c r="M286" t="s">
        <v>55</v>
      </c>
    </row>
    <row r="287" spans="1:13" x14ac:dyDescent="0.3">
      <c r="A287" t="s">
        <v>575</v>
      </c>
      <c r="B287" t="s">
        <v>576</v>
      </c>
      <c r="C287" t="s">
        <v>50</v>
      </c>
      <c r="D287" t="s">
        <v>79</v>
      </c>
      <c r="E287" t="s">
        <v>26</v>
      </c>
      <c r="F287" t="s">
        <v>18</v>
      </c>
      <c r="G287" t="s">
        <v>28</v>
      </c>
      <c r="H287" t="s">
        <v>29</v>
      </c>
      <c r="I287">
        <v>18235</v>
      </c>
      <c r="J287">
        <v>5</v>
      </c>
      <c r="K287">
        <v>4.5</v>
      </c>
      <c r="L287">
        <v>2</v>
      </c>
      <c r="M287" t="s">
        <v>37</v>
      </c>
    </row>
    <row r="288" spans="1:13" x14ac:dyDescent="0.3">
      <c r="A288" t="s">
        <v>577</v>
      </c>
      <c r="B288" t="s">
        <v>261</v>
      </c>
      <c r="C288" t="s">
        <v>33</v>
      </c>
      <c r="D288" t="s">
        <v>59</v>
      </c>
      <c r="E288" t="s">
        <v>26</v>
      </c>
      <c r="F288" t="s">
        <v>83</v>
      </c>
      <c r="G288" t="s">
        <v>104</v>
      </c>
      <c r="H288" t="s">
        <v>36</v>
      </c>
      <c r="I288">
        <v>25320</v>
      </c>
      <c r="J288">
        <v>3</v>
      </c>
      <c r="K288">
        <v>4.5</v>
      </c>
      <c r="L288">
        <v>3</v>
      </c>
      <c r="M288" t="s">
        <v>80</v>
      </c>
    </row>
    <row r="289" spans="1:13" x14ac:dyDescent="0.3">
      <c r="A289" t="s">
        <v>578</v>
      </c>
      <c r="B289" t="s">
        <v>579</v>
      </c>
      <c r="C289" t="s">
        <v>133</v>
      </c>
      <c r="D289" t="s">
        <v>59</v>
      </c>
      <c r="E289" t="s">
        <v>26</v>
      </c>
      <c r="F289" t="s">
        <v>100</v>
      </c>
      <c r="G289" t="s">
        <v>28</v>
      </c>
      <c r="H289" t="s">
        <v>36</v>
      </c>
      <c r="I289">
        <v>22872</v>
      </c>
      <c r="J289">
        <v>6</v>
      </c>
      <c r="K289">
        <v>4.0999999999999996</v>
      </c>
      <c r="L289">
        <v>3</v>
      </c>
      <c r="M289" t="s">
        <v>65</v>
      </c>
    </row>
    <row r="290" spans="1:13" x14ac:dyDescent="0.3">
      <c r="A290" t="s">
        <v>580</v>
      </c>
      <c r="B290" t="s">
        <v>581</v>
      </c>
      <c r="C290" t="s">
        <v>68</v>
      </c>
      <c r="D290" t="s">
        <v>34</v>
      </c>
      <c r="E290" t="s">
        <v>35</v>
      </c>
      <c r="F290" t="s">
        <v>27</v>
      </c>
      <c r="G290" t="s">
        <v>104</v>
      </c>
      <c r="H290" t="s">
        <v>64</v>
      </c>
      <c r="I290">
        <v>245874</v>
      </c>
      <c r="J290">
        <v>6</v>
      </c>
      <c r="K290">
        <v>4.2</v>
      </c>
      <c r="L290">
        <v>1</v>
      </c>
      <c r="M290" t="s">
        <v>37</v>
      </c>
    </row>
    <row r="291" spans="1:13" x14ac:dyDescent="0.3">
      <c r="A291" t="s">
        <v>582</v>
      </c>
      <c r="B291" t="s">
        <v>583</v>
      </c>
      <c r="C291" t="s">
        <v>112</v>
      </c>
      <c r="D291" t="s">
        <v>63</v>
      </c>
      <c r="E291" t="s">
        <v>52</v>
      </c>
      <c r="F291" t="s">
        <v>53</v>
      </c>
      <c r="G291" t="s">
        <v>28</v>
      </c>
      <c r="H291" t="s">
        <v>64</v>
      </c>
      <c r="I291">
        <v>4284</v>
      </c>
      <c r="J291">
        <v>6</v>
      </c>
      <c r="K291">
        <v>4.5</v>
      </c>
      <c r="L291">
        <v>1</v>
      </c>
      <c r="M291" t="s">
        <v>144</v>
      </c>
    </row>
    <row r="292" spans="1:13" x14ac:dyDescent="0.3">
      <c r="A292" t="s">
        <v>584</v>
      </c>
      <c r="B292" t="s">
        <v>585</v>
      </c>
      <c r="C292" t="s">
        <v>75</v>
      </c>
      <c r="D292" t="s">
        <v>218</v>
      </c>
      <c r="E292" t="s">
        <v>17</v>
      </c>
      <c r="F292" t="s">
        <v>83</v>
      </c>
      <c r="G292" t="s">
        <v>19</v>
      </c>
      <c r="H292" t="s">
        <v>64</v>
      </c>
      <c r="I292">
        <v>3824</v>
      </c>
      <c r="J292">
        <v>4</v>
      </c>
      <c r="K292">
        <v>4.9000000000000004</v>
      </c>
      <c r="L292">
        <v>1</v>
      </c>
      <c r="M292" t="s">
        <v>192</v>
      </c>
    </row>
    <row r="293" spans="1:13" x14ac:dyDescent="0.3">
      <c r="A293" t="s">
        <v>586</v>
      </c>
      <c r="B293" t="s">
        <v>587</v>
      </c>
      <c r="C293" t="s">
        <v>75</v>
      </c>
      <c r="D293" t="s">
        <v>86</v>
      </c>
      <c r="E293" t="s">
        <v>17</v>
      </c>
      <c r="F293" t="s">
        <v>18</v>
      </c>
      <c r="G293" t="s">
        <v>54</v>
      </c>
      <c r="H293" t="s">
        <v>20</v>
      </c>
      <c r="I293">
        <v>11368</v>
      </c>
      <c r="J293">
        <v>7</v>
      </c>
      <c r="K293">
        <v>4.5</v>
      </c>
      <c r="L293">
        <v>1</v>
      </c>
      <c r="M293" t="s">
        <v>30</v>
      </c>
    </row>
    <row r="294" spans="1:13" x14ac:dyDescent="0.3">
      <c r="A294" t="s">
        <v>588</v>
      </c>
      <c r="B294" t="s">
        <v>589</v>
      </c>
      <c r="C294" t="s">
        <v>15</v>
      </c>
      <c r="D294" t="s">
        <v>165</v>
      </c>
      <c r="E294" t="s">
        <v>35</v>
      </c>
      <c r="F294" t="s">
        <v>60</v>
      </c>
      <c r="G294" t="s">
        <v>54</v>
      </c>
      <c r="H294" t="s">
        <v>36</v>
      </c>
      <c r="I294">
        <v>213440</v>
      </c>
      <c r="J294">
        <v>4</v>
      </c>
      <c r="K294">
        <v>3.9</v>
      </c>
      <c r="L294">
        <v>6</v>
      </c>
      <c r="M294" t="s">
        <v>87</v>
      </c>
    </row>
    <row r="295" spans="1:13" x14ac:dyDescent="0.3">
      <c r="A295" t="s">
        <v>590</v>
      </c>
      <c r="B295" t="s">
        <v>99</v>
      </c>
      <c r="C295" t="s">
        <v>45</v>
      </c>
      <c r="D295" t="s">
        <v>25</v>
      </c>
      <c r="E295" t="s">
        <v>26</v>
      </c>
      <c r="F295" t="s">
        <v>18</v>
      </c>
      <c r="G295" t="s">
        <v>104</v>
      </c>
      <c r="H295" t="s">
        <v>64</v>
      </c>
      <c r="I295">
        <v>2538</v>
      </c>
      <c r="J295">
        <v>1</v>
      </c>
      <c r="K295">
        <v>3.7</v>
      </c>
      <c r="L295">
        <v>5</v>
      </c>
      <c r="M295" t="s">
        <v>30</v>
      </c>
    </row>
    <row r="296" spans="1:13" x14ac:dyDescent="0.3">
      <c r="A296" t="s">
        <v>591</v>
      </c>
      <c r="B296" t="s">
        <v>167</v>
      </c>
      <c r="C296" t="s">
        <v>72</v>
      </c>
      <c r="D296" t="s">
        <v>90</v>
      </c>
      <c r="E296" t="s">
        <v>42</v>
      </c>
      <c r="F296" t="s">
        <v>53</v>
      </c>
      <c r="G296" t="s">
        <v>104</v>
      </c>
      <c r="H296" t="s">
        <v>36</v>
      </c>
      <c r="I296">
        <v>2501</v>
      </c>
      <c r="J296">
        <v>1</v>
      </c>
      <c r="K296">
        <v>4.5</v>
      </c>
      <c r="L296">
        <v>5</v>
      </c>
      <c r="M296" t="s">
        <v>119</v>
      </c>
    </row>
    <row r="297" spans="1:13" x14ac:dyDescent="0.3">
      <c r="A297" t="s">
        <v>592</v>
      </c>
      <c r="B297" t="s">
        <v>593</v>
      </c>
      <c r="C297" t="s">
        <v>179</v>
      </c>
      <c r="D297" t="s">
        <v>79</v>
      </c>
      <c r="E297" t="s">
        <v>26</v>
      </c>
      <c r="F297" t="s">
        <v>60</v>
      </c>
      <c r="G297" t="s">
        <v>19</v>
      </c>
      <c r="H297" t="s">
        <v>20</v>
      </c>
      <c r="I297">
        <v>2194</v>
      </c>
      <c r="J297">
        <v>1</v>
      </c>
      <c r="K297">
        <v>3.7</v>
      </c>
      <c r="L297">
        <v>6</v>
      </c>
      <c r="M297" t="s">
        <v>80</v>
      </c>
    </row>
    <row r="298" spans="1:13" x14ac:dyDescent="0.3">
      <c r="A298" t="s">
        <v>594</v>
      </c>
      <c r="B298" t="s">
        <v>595</v>
      </c>
      <c r="C298" t="s">
        <v>78</v>
      </c>
      <c r="D298" t="s">
        <v>63</v>
      </c>
      <c r="E298" t="s">
        <v>52</v>
      </c>
      <c r="F298" t="s">
        <v>18</v>
      </c>
      <c r="G298" t="s">
        <v>104</v>
      </c>
      <c r="H298" t="s">
        <v>36</v>
      </c>
      <c r="I298">
        <v>3595</v>
      </c>
      <c r="J298">
        <v>5</v>
      </c>
      <c r="K298">
        <v>4.7</v>
      </c>
      <c r="L298">
        <v>8</v>
      </c>
      <c r="M298" t="s">
        <v>192</v>
      </c>
    </row>
    <row r="299" spans="1:13" x14ac:dyDescent="0.3">
      <c r="A299" t="s">
        <v>596</v>
      </c>
      <c r="B299" t="s">
        <v>597</v>
      </c>
      <c r="C299" t="s">
        <v>179</v>
      </c>
      <c r="D299" t="s">
        <v>113</v>
      </c>
      <c r="E299" t="s">
        <v>35</v>
      </c>
      <c r="F299" t="s">
        <v>53</v>
      </c>
      <c r="G299" t="s">
        <v>28</v>
      </c>
      <c r="H299" t="s">
        <v>64</v>
      </c>
      <c r="I299">
        <v>154440</v>
      </c>
      <c r="J299">
        <v>8</v>
      </c>
      <c r="K299">
        <v>3.7</v>
      </c>
      <c r="L299">
        <v>2</v>
      </c>
      <c r="M299" t="s">
        <v>37</v>
      </c>
    </row>
    <row r="300" spans="1:13" x14ac:dyDescent="0.3">
      <c r="A300" t="s">
        <v>598</v>
      </c>
      <c r="B300" t="s">
        <v>599</v>
      </c>
      <c r="C300" t="s">
        <v>24</v>
      </c>
      <c r="D300" t="s">
        <v>165</v>
      </c>
      <c r="E300" t="s">
        <v>35</v>
      </c>
      <c r="F300" t="s">
        <v>18</v>
      </c>
      <c r="G300" t="s">
        <v>104</v>
      </c>
      <c r="H300" t="s">
        <v>20</v>
      </c>
      <c r="I300">
        <v>383140</v>
      </c>
      <c r="J300">
        <v>5</v>
      </c>
      <c r="K300">
        <v>4.7</v>
      </c>
      <c r="L300">
        <v>7</v>
      </c>
      <c r="M300" t="s">
        <v>119</v>
      </c>
    </row>
    <row r="301" spans="1:13" x14ac:dyDescent="0.3">
      <c r="A301" t="s">
        <v>600</v>
      </c>
      <c r="B301" t="s">
        <v>115</v>
      </c>
      <c r="C301" t="s">
        <v>125</v>
      </c>
      <c r="D301" t="s">
        <v>51</v>
      </c>
      <c r="E301" t="s">
        <v>52</v>
      </c>
      <c r="F301" t="s">
        <v>100</v>
      </c>
      <c r="G301" t="s">
        <v>54</v>
      </c>
      <c r="H301" t="s">
        <v>20</v>
      </c>
      <c r="I301">
        <v>9648</v>
      </c>
      <c r="J301">
        <v>6</v>
      </c>
      <c r="K301">
        <v>3.8</v>
      </c>
      <c r="L301">
        <v>5</v>
      </c>
      <c r="M301" t="s">
        <v>21</v>
      </c>
    </row>
    <row r="302" spans="1:13" x14ac:dyDescent="0.3">
      <c r="A302" t="s">
        <v>601</v>
      </c>
      <c r="B302" t="s">
        <v>237</v>
      </c>
      <c r="C302" t="s">
        <v>112</v>
      </c>
      <c r="D302" t="s">
        <v>25</v>
      </c>
      <c r="E302" t="s">
        <v>26</v>
      </c>
      <c r="F302" t="s">
        <v>27</v>
      </c>
      <c r="G302" t="s">
        <v>54</v>
      </c>
      <c r="H302" t="s">
        <v>64</v>
      </c>
      <c r="I302">
        <v>6156</v>
      </c>
      <c r="J302">
        <v>3</v>
      </c>
      <c r="K302">
        <v>4.5</v>
      </c>
      <c r="L302">
        <v>1</v>
      </c>
      <c r="M302" t="s">
        <v>21</v>
      </c>
    </row>
    <row r="303" spans="1:13" x14ac:dyDescent="0.3">
      <c r="A303" t="s">
        <v>602</v>
      </c>
      <c r="B303" t="s">
        <v>603</v>
      </c>
      <c r="C303" t="s">
        <v>72</v>
      </c>
      <c r="D303" t="s">
        <v>79</v>
      </c>
      <c r="E303" t="s">
        <v>26</v>
      </c>
      <c r="F303" t="s">
        <v>60</v>
      </c>
      <c r="G303" t="s">
        <v>54</v>
      </c>
      <c r="H303" t="s">
        <v>64</v>
      </c>
      <c r="I303">
        <v>33965</v>
      </c>
      <c r="J303">
        <v>5</v>
      </c>
      <c r="K303">
        <v>3.9</v>
      </c>
      <c r="L303">
        <v>5</v>
      </c>
      <c r="M303" t="s">
        <v>144</v>
      </c>
    </row>
    <row r="304" spans="1:13" x14ac:dyDescent="0.3">
      <c r="A304" t="s">
        <v>604</v>
      </c>
      <c r="B304" t="s">
        <v>605</v>
      </c>
      <c r="C304" t="s">
        <v>125</v>
      </c>
      <c r="D304" t="s">
        <v>165</v>
      </c>
      <c r="E304" t="s">
        <v>35</v>
      </c>
      <c r="F304" t="s">
        <v>53</v>
      </c>
      <c r="G304" t="s">
        <v>54</v>
      </c>
      <c r="H304" t="s">
        <v>20</v>
      </c>
      <c r="I304">
        <v>279552</v>
      </c>
      <c r="J304">
        <v>4</v>
      </c>
      <c r="K304">
        <v>3.5</v>
      </c>
      <c r="L304">
        <v>3</v>
      </c>
      <c r="M304" t="s">
        <v>144</v>
      </c>
    </row>
    <row r="305" spans="1:13" x14ac:dyDescent="0.3">
      <c r="A305" t="s">
        <v>606</v>
      </c>
      <c r="B305" t="s">
        <v>242</v>
      </c>
      <c r="C305" t="s">
        <v>50</v>
      </c>
      <c r="D305" t="s">
        <v>159</v>
      </c>
      <c r="E305" t="s">
        <v>42</v>
      </c>
      <c r="F305" t="s">
        <v>60</v>
      </c>
      <c r="G305" t="s">
        <v>28</v>
      </c>
      <c r="H305" t="s">
        <v>36</v>
      </c>
      <c r="I305">
        <v>11965</v>
      </c>
      <c r="J305">
        <v>5</v>
      </c>
      <c r="K305">
        <v>4.8</v>
      </c>
      <c r="L305">
        <v>6</v>
      </c>
      <c r="M305" t="s">
        <v>87</v>
      </c>
    </row>
    <row r="306" spans="1:13" x14ac:dyDescent="0.3">
      <c r="A306" t="s">
        <v>607</v>
      </c>
      <c r="B306" t="s">
        <v>183</v>
      </c>
      <c r="C306" t="s">
        <v>58</v>
      </c>
      <c r="D306" t="s">
        <v>218</v>
      </c>
      <c r="E306" t="s">
        <v>17</v>
      </c>
      <c r="F306" t="s">
        <v>27</v>
      </c>
      <c r="G306" t="s">
        <v>54</v>
      </c>
      <c r="H306" t="s">
        <v>29</v>
      </c>
      <c r="I306">
        <v>4195</v>
      </c>
      <c r="J306">
        <v>5</v>
      </c>
      <c r="K306">
        <v>4.4000000000000004</v>
      </c>
      <c r="L306">
        <v>6</v>
      </c>
      <c r="M306" t="s">
        <v>87</v>
      </c>
    </row>
    <row r="307" spans="1:13" x14ac:dyDescent="0.3">
      <c r="A307" t="s">
        <v>608</v>
      </c>
      <c r="B307" t="s">
        <v>174</v>
      </c>
      <c r="C307" t="s">
        <v>146</v>
      </c>
      <c r="D307" t="s">
        <v>159</v>
      </c>
      <c r="E307" t="s">
        <v>42</v>
      </c>
      <c r="F307" t="s">
        <v>83</v>
      </c>
      <c r="G307" t="s">
        <v>19</v>
      </c>
      <c r="H307" t="s">
        <v>36</v>
      </c>
      <c r="I307">
        <v>32543</v>
      </c>
      <c r="J307">
        <v>7</v>
      </c>
      <c r="K307">
        <v>3.2</v>
      </c>
      <c r="L307">
        <v>3</v>
      </c>
      <c r="M307" t="s">
        <v>65</v>
      </c>
    </row>
    <row r="308" spans="1:13" x14ac:dyDescent="0.3">
      <c r="A308" t="s">
        <v>609</v>
      </c>
      <c r="B308" t="s">
        <v>57</v>
      </c>
      <c r="C308" t="s">
        <v>170</v>
      </c>
      <c r="D308" t="s">
        <v>59</v>
      </c>
      <c r="E308" t="s">
        <v>26</v>
      </c>
      <c r="F308" t="s">
        <v>27</v>
      </c>
      <c r="G308" t="s">
        <v>54</v>
      </c>
      <c r="H308" t="s">
        <v>64</v>
      </c>
      <c r="I308">
        <v>8214</v>
      </c>
      <c r="J308">
        <v>3</v>
      </c>
      <c r="K308">
        <v>4.4000000000000004</v>
      </c>
      <c r="L308">
        <v>7</v>
      </c>
      <c r="M308" t="s">
        <v>37</v>
      </c>
    </row>
    <row r="309" spans="1:13" x14ac:dyDescent="0.3">
      <c r="A309" t="s">
        <v>610</v>
      </c>
      <c r="B309" t="s">
        <v>611</v>
      </c>
      <c r="C309" t="s">
        <v>72</v>
      </c>
      <c r="D309" t="s">
        <v>90</v>
      </c>
      <c r="E309" t="s">
        <v>42</v>
      </c>
      <c r="F309" t="s">
        <v>27</v>
      </c>
      <c r="G309" t="s">
        <v>54</v>
      </c>
      <c r="H309" t="s">
        <v>20</v>
      </c>
      <c r="I309">
        <v>8088</v>
      </c>
      <c r="J309">
        <v>3</v>
      </c>
      <c r="K309">
        <v>3.4</v>
      </c>
      <c r="L309">
        <v>3</v>
      </c>
      <c r="M309" t="s">
        <v>37</v>
      </c>
    </row>
    <row r="310" spans="1:13" x14ac:dyDescent="0.3">
      <c r="A310" t="s">
        <v>612</v>
      </c>
      <c r="B310" t="s">
        <v>533</v>
      </c>
      <c r="C310" t="s">
        <v>75</v>
      </c>
      <c r="D310" t="s">
        <v>86</v>
      </c>
      <c r="E310" t="s">
        <v>17</v>
      </c>
      <c r="F310" t="s">
        <v>83</v>
      </c>
      <c r="G310" t="s">
        <v>28</v>
      </c>
      <c r="H310" t="s">
        <v>64</v>
      </c>
      <c r="I310">
        <v>4074</v>
      </c>
      <c r="J310">
        <v>3</v>
      </c>
      <c r="K310">
        <v>3.2</v>
      </c>
      <c r="L310">
        <v>5</v>
      </c>
      <c r="M310" t="s">
        <v>21</v>
      </c>
    </row>
    <row r="311" spans="1:13" x14ac:dyDescent="0.3">
      <c r="A311" t="s">
        <v>613</v>
      </c>
      <c r="B311" t="s">
        <v>226</v>
      </c>
      <c r="C311" t="s">
        <v>24</v>
      </c>
      <c r="D311" t="s">
        <v>159</v>
      </c>
      <c r="E311" t="s">
        <v>42</v>
      </c>
      <c r="F311" t="s">
        <v>27</v>
      </c>
      <c r="G311" t="s">
        <v>104</v>
      </c>
      <c r="H311" t="s">
        <v>64</v>
      </c>
      <c r="I311">
        <v>15323</v>
      </c>
      <c r="J311">
        <v>7</v>
      </c>
      <c r="K311">
        <v>4.4000000000000004</v>
      </c>
      <c r="L311">
        <v>5</v>
      </c>
      <c r="M311" t="s">
        <v>37</v>
      </c>
    </row>
    <row r="312" spans="1:13" x14ac:dyDescent="0.3">
      <c r="A312" t="s">
        <v>614</v>
      </c>
      <c r="B312" t="s">
        <v>615</v>
      </c>
      <c r="C312" t="s">
        <v>72</v>
      </c>
      <c r="D312" t="s">
        <v>25</v>
      </c>
      <c r="E312" t="s">
        <v>26</v>
      </c>
      <c r="F312" t="s">
        <v>100</v>
      </c>
      <c r="G312" t="s">
        <v>54</v>
      </c>
      <c r="H312" t="s">
        <v>20</v>
      </c>
      <c r="I312">
        <v>28805</v>
      </c>
      <c r="J312">
        <v>7</v>
      </c>
      <c r="K312">
        <v>4.0999999999999996</v>
      </c>
      <c r="L312">
        <v>7</v>
      </c>
      <c r="M312" t="s">
        <v>37</v>
      </c>
    </row>
    <row r="313" spans="1:13" x14ac:dyDescent="0.3">
      <c r="A313" t="s">
        <v>616</v>
      </c>
      <c r="B313" t="s">
        <v>387</v>
      </c>
      <c r="C313" t="s">
        <v>112</v>
      </c>
      <c r="D313" t="s">
        <v>41</v>
      </c>
      <c r="E313" t="s">
        <v>42</v>
      </c>
      <c r="F313" t="s">
        <v>60</v>
      </c>
      <c r="G313" t="s">
        <v>104</v>
      </c>
      <c r="H313" t="s">
        <v>36</v>
      </c>
      <c r="I313">
        <v>11286</v>
      </c>
      <c r="J313">
        <v>2</v>
      </c>
      <c r="K313">
        <v>4.7</v>
      </c>
      <c r="L313">
        <v>7</v>
      </c>
      <c r="M313" t="s">
        <v>65</v>
      </c>
    </row>
    <row r="314" spans="1:13" x14ac:dyDescent="0.3">
      <c r="A314" t="s">
        <v>617</v>
      </c>
      <c r="B314" t="s">
        <v>615</v>
      </c>
      <c r="C314" t="s">
        <v>125</v>
      </c>
      <c r="D314" t="s">
        <v>69</v>
      </c>
      <c r="E314" t="s">
        <v>26</v>
      </c>
      <c r="F314" t="s">
        <v>83</v>
      </c>
      <c r="G314" t="s">
        <v>54</v>
      </c>
      <c r="H314" t="s">
        <v>29</v>
      </c>
      <c r="I314">
        <v>19200</v>
      </c>
      <c r="J314">
        <v>8</v>
      </c>
      <c r="K314">
        <v>4</v>
      </c>
      <c r="L314">
        <v>5</v>
      </c>
      <c r="M314" t="s">
        <v>37</v>
      </c>
    </row>
    <row r="315" spans="1:13" x14ac:dyDescent="0.3">
      <c r="A315" t="s">
        <v>618</v>
      </c>
      <c r="B315" t="s">
        <v>619</v>
      </c>
      <c r="C315" t="s">
        <v>179</v>
      </c>
      <c r="D315" t="s">
        <v>69</v>
      </c>
      <c r="E315" t="s">
        <v>26</v>
      </c>
      <c r="F315" t="s">
        <v>27</v>
      </c>
      <c r="G315" t="s">
        <v>104</v>
      </c>
      <c r="H315" t="s">
        <v>64</v>
      </c>
      <c r="I315">
        <v>10920</v>
      </c>
      <c r="J315">
        <v>4</v>
      </c>
      <c r="K315">
        <v>4.0999999999999996</v>
      </c>
      <c r="L315">
        <v>7</v>
      </c>
      <c r="M315" t="s">
        <v>21</v>
      </c>
    </row>
    <row r="316" spans="1:13" x14ac:dyDescent="0.3">
      <c r="A316" t="s">
        <v>620</v>
      </c>
      <c r="B316" t="s">
        <v>458</v>
      </c>
      <c r="C316" t="s">
        <v>50</v>
      </c>
      <c r="D316" t="s">
        <v>113</v>
      </c>
      <c r="E316" t="s">
        <v>35</v>
      </c>
      <c r="F316" t="s">
        <v>83</v>
      </c>
      <c r="G316" t="s">
        <v>28</v>
      </c>
      <c r="H316" t="s">
        <v>64</v>
      </c>
      <c r="I316">
        <v>257243</v>
      </c>
      <c r="J316">
        <v>7</v>
      </c>
      <c r="K316">
        <v>4.2</v>
      </c>
      <c r="L316">
        <v>5</v>
      </c>
      <c r="M316" t="s">
        <v>80</v>
      </c>
    </row>
    <row r="317" spans="1:13" x14ac:dyDescent="0.3">
      <c r="A317" t="s">
        <v>621</v>
      </c>
      <c r="B317" t="s">
        <v>622</v>
      </c>
      <c r="C317" t="s">
        <v>122</v>
      </c>
      <c r="D317" t="s">
        <v>109</v>
      </c>
      <c r="E317" t="s">
        <v>52</v>
      </c>
      <c r="F317" t="s">
        <v>60</v>
      </c>
      <c r="G317" t="s">
        <v>19</v>
      </c>
      <c r="H317" t="s">
        <v>36</v>
      </c>
      <c r="I317">
        <v>12048</v>
      </c>
      <c r="J317">
        <v>8</v>
      </c>
      <c r="K317">
        <v>4.5</v>
      </c>
      <c r="L317">
        <v>2</v>
      </c>
      <c r="M317" t="s">
        <v>30</v>
      </c>
    </row>
    <row r="318" spans="1:13" x14ac:dyDescent="0.3">
      <c r="A318" t="s">
        <v>623</v>
      </c>
      <c r="B318" t="s">
        <v>624</v>
      </c>
      <c r="C318" t="s">
        <v>75</v>
      </c>
      <c r="D318" t="s">
        <v>51</v>
      </c>
      <c r="E318" t="s">
        <v>52</v>
      </c>
      <c r="F318" t="s">
        <v>18</v>
      </c>
      <c r="G318" t="s">
        <v>104</v>
      </c>
      <c r="H318" t="s">
        <v>20</v>
      </c>
      <c r="I318">
        <v>1843</v>
      </c>
      <c r="J318">
        <v>1</v>
      </c>
      <c r="K318">
        <v>4</v>
      </c>
      <c r="L318">
        <v>7</v>
      </c>
      <c r="M318" t="s">
        <v>126</v>
      </c>
    </row>
    <row r="319" spans="1:13" x14ac:dyDescent="0.3">
      <c r="A319" t="s">
        <v>625</v>
      </c>
      <c r="B319" t="s">
        <v>626</v>
      </c>
      <c r="C319" t="s">
        <v>24</v>
      </c>
      <c r="D319" t="s">
        <v>113</v>
      </c>
      <c r="E319" t="s">
        <v>35</v>
      </c>
      <c r="F319" t="s">
        <v>27</v>
      </c>
      <c r="G319" t="s">
        <v>28</v>
      </c>
      <c r="H319" t="s">
        <v>64</v>
      </c>
      <c r="I319">
        <v>55013</v>
      </c>
      <c r="J319">
        <v>1</v>
      </c>
      <c r="K319">
        <v>4.0999999999999996</v>
      </c>
      <c r="L319">
        <v>1</v>
      </c>
      <c r="M319" t="s">
        <v>192</v>
      </c>
    </row>
    <row r="320" spans="1:13" x14ac:dyDescent="0.3">
      <c r="A320" t="s">
        <v>627</v>
      </c>
      <c r="B320" t="s">
        <v>275</v>
      </c>
      <c r="C320" t="s">
        <v>33</v>
      </c>
      <c r="D320" t="s">
        <v>86</v>
      </c>
      <c r="E320" t="s">
        <v>17</v>
      </c>
      <c r="F320" t="s">
        <v>53</v>
      </c>
      <c r="G320" t="s">
        <v>19</v>
      </c>
      <c r="H320" t="s">
        <v>36</v>
      </c>
      <c r="I320">
        <v>3490</v>
      </c>
      <c r="J320">
        <v>5</v>
      </c>
      <c r="K320">
        <v>4.5</v>
      </c>
      <c r="L320">
        <v>3</v>
      </c>
      <c r="M320" t="s">
        <v>119</v>
      </c>
    </row>
    <row r="321" spans="1:13" x14ac:dyDescent="0.3">
      <c r="A321" t="s">
        <v>628</v>
      </c>
      <c r="B321" t="s">
        <v>115</v>
      </c>
      <c r="C321" t="s">
        <v>75</v>
      </c>
      <c r="D321" t="s">
        <v>147</v>
      </c>
      <c r="E321" t="s">
        <v>52</v>
      </c>
      <c r="F321" t="s">
        <v>100</v>
      </c>
      <c r="G321" t="s">
        <v>104</v>
      </c>
      <c r="H321" t="s">
        <v>29</v>
      </c>
      <c r="I321">
        <v>13076</v>
      </c>
      <c r="J321">
        <v>7</v>
      </c>
      <c r="K321">
        <v>4.0999999999999996</v>
      </c>
      <c r="L321">
        <v>2</v>
      </c>
      <c r="M321" t="s">
        <v>21</v>
      </c>
    </row>
    <row r="322" spans="1:13" x14ac:dyDescent="0.3">
      <c r="A322" t="s">
        <v>629</v>
      </c>
      <c r="B322" t="s">
        <v>630</v>
      </c>
      <c r="C322" t="s">
        <v>78</v>
      </c>
      <c r="D322" t="s">
        <v>130</v>
      </c>
      <c r="E322" t="s">
        <v>35</v>
      </c>
      <c r="F322" t="s">
        <v>18</v>
      </c>
      <c r="G322" t="s">
        <v>104</v>
      </c>
      <c r="H322" t="s">
        <v>29</v>
      </c>
      <c r="I322">
        <v>311416</v>
      </c>
      <c r="J322">
        <v>4</v>
      </c>
      <c r="K322">
        <v>3.5</v>
      </c>
      <c r="L322">
        <v>2</v>
      </c>
      <c r="M322" t="s">
        <v>37</v>
      </c>
    </row>
    <row r="323" spans="1:13" x14ac:dyDescent="0.3">
      <c r="A323" t="s">
        <v>631</v>
      </c>
      <c r="B323" t="s">
        <v>587</v>
      </c>
      <c r="C323" t="s">
        <v>146</v>
      </c>
      <c r="D323" t="s">
        <v>218</v>
      </c>
      <c r="E323" t="s">
        <v>17</v>
      </c>
      <c r="F323" t="s">
        <v>27</v>
      </c>
      <c r="G323" t="s">
        <v>28</v>
      </c>
      <c r="H323" t="s">
        <v>36</v>
      </c>
      <c r="I323">
        <v>8605</v>
      </c>
      <c r="J323">
        <v>5</v>
      </c>
      <c r="K323">
        <v>4.5999999999999996</v>
      </c>
      <c r="L323">
        <v>6</v>
      </c>
      <c r="M323" t="s">
        <v>30</v>
      </c>
    </row>
    <row r="324" spans="1:13" x14ac:dyDescent="0.3">
      <c r="A324" t="s">
        <v>632</v>
      </c>
      <c r="B324" t="s">
        <v>533</v>
      </c>
      <c r="C324" t="s">
        <v>103</v>
      </c>
      <c r="D324" t="s">
        <v>41</v>
      </c>
      <c r="E324" t="s">
        <v>42</v>
      </c>
      <c r="F324" t="s">
        <v>83</v>
      </c>
      <c r="G324" t="s">
        <v>104</v>
      </c>
      <c r="H324" t="s">
        <v>36</v>
      </c>
      <c r="I324">
        <v>6572</v>
      </c>
      <c r="J324">
        <v>2</v>
      </c>
      <c r="K324">
        <v>4.9000000000000004</v>
      </c>
      <c r="L324">
        <v>1</v>
      </c>
      <c r="M324" t="s">
        <v>21</v>
      </c>
    </row>
    <row r="325" spans="1:13" x14ac:dyDescent="0.3">
      <c r="A325" t="s">
        <v>633</v>
      </c>
      <c r="B325" t="s">
        <v>559</v>
      </c>
      <c r="C325" t="s">
        <v>125</v>
      </c>
      <c r="D325" t="s">
        <v>46</v>
      </c>
      <c r="E325" t="s">
        <v>42</v>
      </c>
      <c r="F325" t="s">
        <v>27</v>
      </c>
      <c r="G325" t="s">
        <v>19</v>
      </c>
      <c r="H325" t="s">
        <v>20</v>
      </c>
      <c r="I325">
        <v>7470</v>
      </c>
      <c r="J325">
        <v>3</v>
      </c>
      <c r="K325">
        <v>3.7</v>
      </c>
      <c r="L325">
        <v>4</v>
      </c>
      <c r="M325" t="s">
        <v>87</v>
      </c>
    </row>
    <row r="326" spans="1:13" x14ac:dyDescent="0.3">
      <c r="A326" t="s">
        <v>634</v>
      </c>
      <c r="B326" t="s">
        <v>635</v>
      </c>
      <c r="C326" t="s">
        <v>75</v>
      </c>
      <c r="D326" t="s">
        <v>109</v>
      </c>
      <c r="E326" t="s">
        <v>52</v>
      </c>
      <c r="F326" t="s">
        <v>27</v>
      </c>
      <c r="G326" t="s">
        <v>28</v>
      </c>
      <c r="H326" t="s">
        <v>36</v>
      </c>
      <c r="I326">
        <v>5088</v>
      </c>
      <c r="J326">
        <v>4</v>
      </c>
      <c r="K326">
        <v>4.5999999999999996</v>
      </c>
      <c r="L326">
        <v>2</v>
      </c>
      <c r="M326" t="s">
        <v>37</v>
      </c>
    </row>
    <row r="327" spans="1:13" x14ac:dyDescent="0.3">
      <c r="A327" t="s">
        <v>636</v>
      </c>
      <c r="B327" t="s">
        <v>637</v>
      </c>
      <c r="C327" t="s">
        <v>50</v>
      </c>
      <c r="D327" t="s">
        <v>25</v>
      </c>
      <c r="E327" t="s">
        <v>26</v>
      </c>
      <c r="F327" t="s">
        <v>83</v>
      </c>
      <c r="G327" t="s">
        <v>19</v>
      </c>
      <c r="H327" t="s">
        <v>36</v>
      </c>
      <c r="I327">
        <v>31806</v>
      </c>
      <c r="J327">
        <v>6</v>
      </c>
      <c r="K327">
        <v>4.0999999999999996</v>
      </c>
      <c r="L327">
        <v>5</v>
      </c>
      <c r="M327" t="s">
        <v>65</v>
      </c>
    </row>
    <row r="328" spans="1:13" x14ac:dyDescent="0.3">
      <c r="A328" t="s">
        <v>638</v>
      </c>
      <c r="B328" t="s">
        <v>446</v>
      </c>
      <c r="C328" t="s">
        <v>170</v>
      </c>
      <c r="D328" t="s">
        <v>69</v>
      </c>
      <c r="E328" t="s">
        <v>26</v>
      </c>
      <c r="F328" t="s">
        <v>27</v>
      </c>
      <c r="G328" t="s">
        <v>54</v>
      </c>
      <c r="H328" t="s">
        <v>36</v>
      </c>
      <c r="I328">
        <v>8290</v>
      </c>
      <c r="J328">
        <v>1</v>
      </c>
      <c r="K328">
        <v>5</v>
      </c>
      <c r="L328">
        <v>8</v>
      </c>
      <c r="M328" t="s">
        <v>65</v>
      </c>
    </row>
    <row r="329" spans="1:13" x14ac:dyDescent="0.3">
      <c r="A329" t="s">
        <v>639</v>
      </c>
      <c r="B329" t="s">
        <v>640</v>
      </c>
      <c r="C329" t="s">
        <v>103</v>
      </c>
      <c r="D329" t="s">
        <v>51</v>
      </c>
      <c r="E329" t="s">
        <v>52</v>
      </c>
      <c r="F329" t="s">
        <v>60</v>
      </c>
      <c r="G329" t="s">
        <v>104</v>
      </c>
      <c r="H329" t="s">
        <v>29</v>
      </c>
      <c r="I329">
        <v>3462</v>
      </c>
      <c r="J329">
        <v>2</v>
      </c>
      <c r="K329">
        <v>4.2</v>
      </c>
      <c r="L329">
        <v>4</v>
      </c>
      <c r="M329" t="s">
        <v>30</v>
      </c>
    </row>
    <row r="330" spans="1:13" x14ac:dyDescent="0.3">
      <c r="A330" t="s">
        <v>641</v>
      </c>
      <c r="B330" t="s">
        <v>434</v>
      </c>
      <c r="C330" t="s">
        <v>58</v>
      </c>
      <c r="D330" t="s">
        <v>51</v>
      </c>
      <c r="E330" t="s">
        <v>52</v>
      </c>
      <c r="F330" t="s">
        <v>27</v>
      </c>
      <c r="G330" t="s">
        <v>19</v>
      </c>
      <c r="H330" t="s">
        <v>36</v>
      </c>
      <c r="I330">
        <v>7096</v>
      </c>
      <c r="J330">
        <v>4</v>
      </c>
      <c r="K330">
        <v>4</v>
      </c>
      <c r="L330">
        <v>3</v>
      </c>
      <c r="M330" t="s">
        <v>47</v>
      </c>
    </row>
    <row r="331" spans="1:13" x14ac:dyDescent="0.3">
      <c r="A331" t="s">
        <v>642</v>
      </c>
      <c r="B331" t="s">
        <v>429</v>
      </c>
      <c r="C331" t="s">
        <v>133</v>
      </c>
      <c r="D331" t="s">
        <v>34</v>
      </c>
      <c r="E331" t="s">
        <v>35</v>
      </c>
      <c r="F331" t="s">
        <v>60</v>
      </c>
      <c r="G331" t="s">
        <v>19</v>
      </c>
      <c r="H331" t="s">
        <v>29</v>
      </c>
      <c r="I331">
        <v>151312</v>
      </c>
      <c r="J331">
        <v>7</v>
      </c>
      <c r="K331">
        <v>4.7</v>
      </c>
      <c r="L331">
        <v>3</v>
      </c>
      <c r="M331" t="s">
        <v>30</v>
      </c>
    </row>
    <row r="332" spans="1:13" x14ac:dyDescent="0.3">
      <c r="A332" t="s">
        <v>643</v>
      </c>
      <c r="B332" t="s">
        <v>195</v>
      </c>
      <c r="C332" t="s">
        <v>68</v>
      </c>
      <c r="D332" t="s">
        <v>46</v>
      </c>
      <c r="E332" t="s">
        <v>42</v>
      </c>
      <c r="F332" t="s">
        <v>60</v>
      </c>
      <c r="G332" t="s">
        <v>104</v>
      </c>
      <c r="H332" t="s">
        <v>29</v>
      </c>
      <c r="I332">
        <v>1191</v>
      </c>
      <c r="J332">
        <v>1</v>
      </c>
      <c r="K332">
        <v>4.7</v>
      </c>
      <c r="L332">
        <v>8</v>
      </c>
      <c r="M332" t="s">
        <v>21</v>
      </c>
    </row>
    <row r="333" spans="1:13" x14ac:dyDescent="0.3">
      <c r="A333" t="s">
        <v>644</v>
      </c>
      <c r="B333" t="s">
        <v>622</v>
      </c>
      <c r="C333" t="s">
        <v>58</v>
      </c>
      <c r="D333" t="s">
        <v>130</v>
      </c>
      <c r="E333" t="s">
        <v>35</v>
      </c>
      <c r="F333" t="s">
        <v>100</v>
      </c>
      <c r="G333" t="s">
        <v>19</v>
      </c>
      <c r="H333" t="s">
        <v>29</v>
      </c>
      <c r="I333">
        <v>282350</v>
      </c>
      <c r="J333">
        <v>5</v>
      </c>
      <c r="K333">
        <v>4.8</v>
      </c>
      <c r="L333">
        <v>4</v>
      </c>
      <c r="M333" t="s">
        <v>30</v>
      </c>
    </row>
    <row r="334" spans="1:13" x14ac:dyDescent="0.3">
      <c r="A334" t="s">
        <v>645</v>
      </c>
      <c r="B334" t="s">
        <v>646</v>
      </c>
      <c r="C334" t="s">
        <v>24</v>
      </c>
      <c r="D334" t="s">
        <v>130</v>
      </c>
      <c r="E334" t="s">
        <v>35</v>
      </c>
      <c r="F334" t="s">
        <v>27</v>
      </c>
      <c r="G334" t="s">
        <v>104</v>
      </c>
      <c r="H334" t="s">
        <v>64</v>
      </c>
      <c r="I334">
        <v>419576</v>
      </c>
      <c r="J334">
        <v>8</v>
      </c>
      <c r="K334">
        <v>4</v>
      </c>
      <c r="L334">
        <v>3</v>
      </c>
      <c r="M334" t="s">
        <v>119</v>
      </c>
    </row>
    <row r="335" spans="1:13" x14ac:dyDescent="0.3">
      <c r="A335" t="s">
        <v>647</v>
      </c>
      <c r="B335" t="s">
        <v>589</v>
      </c>
      <c r="C335" t="s">
        <v>45</v>
      </c>
      <c r="D335" t="s">
        <v>69</v>
      </c>
      <c r="E335" t="s">
        <v>26</v>
      </c>
      <c r="F335" t="s">
        <v>27</v>
      </c>
      <c r="G335" t="s">
        <v>28</v>
      </c>
      <c r="H335" t="s">
        <v>29</v>
      </c>
      <c r="I335">
        <v>11982</v>
      </c>
      <c r="J335">
        <v>2</v>
      </c>
      <c r="K335">
        <v>4.4000000000000004</v>
      </c>
      <c r="L335">
        <v>5</v>
      </c>
      <c r="M335" t="s">
        <v>87</v>
      </c>
    </row>
    <row r="336" spans="1:13" x14ac:dyDescent="0.3">
      <c r="A336" t="s">
        <v>648</v>
      </c>
      <c r="B336" t="s">
        <v>222</v>
      </c>
      <c r="C336" t="s">
        <v>75</v>
      </c>
      <c r="D336" t="s">
        <v>46</v>
      </c>
      <c r="E336" t="s">
        <v>42</v>
      </c>
      <c r="F336" t="s">
        <v>83</v>
      </c>
      <c r="G336" t="s">
        <v>19</v>
      </c>
      <c r="H336" t="s">
        <v>64</v>
      </c>
      <c r="I336">
        <v>7112</v>
      </c>
      <c r="J336">
        <v>8</v>
      </c>
      <c r="K336">
        <v>4.5</v>
      </c>
      <c r="L336">
        <v>5</v>
      </c>
      <c r="M336" t="s">
        <v>30</v>
      </c>
    </row>
    <row r="337" spans="1:13" x14ac:dyDescent="0.3">
      <c r="A337" t="s">
        <v>649</v>
      </c>
      <c r="B337" t="s">
        <v>242</v>
      </c>
      <c r="C337" t="s">
        <v>68</v>
      </c>
      <c r="D337" t="s">
        <v>16</v>
      </c>
      <c r="E337" t="s">
        <v>17</v>
      </c>
      <c r="F337" t="s">
        <v>53</v>
      </c>
      <c r="G337" t="s">
        <v>19</v>
      </c>
      <c r="H337" t="s">
        <v>36</v>
      </c>
      <c r="I337">
        <v>11384</v>
      </c>
      <c r="J337">
        <v>8</v>
      </c>
      <c r="K337">
        <v>4.5999999999999996</v>
      </c>
      <c r="L337">
        <v>2</v>
      </c>
      <c r="M337" t="s">
        <v>87</v>
      </c>
    </row>
    <row r="338" spans="1:13" x14ac:dyDescent="0.3">
      <c r="A338" t="s">
        <v>650</v>
      </c>
      <c r="B338" t="s">
        <v>615</v>
      </c>
      <c r="C338" t="s">
        <v>15</v>
      </c>
      <c r="D338" t="s">
        <v>46</v>
      </c>
      <c r="E338" t="s">
        <v>42</v>
      </c>
      <c r="F338" t="s">
        <v>18</v>
      </c>
      <c r="G338" t="s">
        <v>104</v>
      </c>
      <c r="H338" t="s">
        <v>29</v>
      </c>
      <c r="I338">
        <v>6940</v>
      </c>
      <c r="J338">
        <v>4</v>
      </c>
      <c r="K338">
        <v>4.0999999999999996</v>
      </c>
      <c r="L338">
        <v>3</v>
      </c>
      <c r="M338" t="s">
        <v>37</v>
      </c>
    </row>
    <row r="339" spans="1:13" x14ac:dyDescent="0.3">
      <c r="A339" t="s">
        <v>651</v>
      </c>
      <c r="B339" t="s">
        <v>652</v>
      </c>
      <c r="C339" t="s">
        <v>58</v>
      </c>
      <c r="D339" t="s">
        <v>90</v>
      </c>
      <c r="E339" t="s">
        <v>42</v>
      </c>
      <c r="F339" t="s">
        <v>60</v>
      </c>
      <c r="G339" t="s">
        <v>104</v>
      </c>
      <c r="H339" t="s">
        <v>29</v>
      </c>
      <c r="I339">
        <v>25585</v>
      </c>
      <c r="J339">
        <v>5</v>
      </c>
      <c r="K339">
        <v>4.3</v>
      </c>
      <c r="L339">
        <v>8</v>
      </c>
      <c r="M339" t="s">
        <v>30</v>
      </c>
    </row>
    <row r="340" spans="1:13" x14ac:dyDescent="0.3">
      <c r="A340" t="s">
        <v>653</v>
      </c>
      <c r="B340" t="s">
        <v>561</v>
      </c>
      <c r="C340" t="s">
        <v>112</v>
      </c>
      <c r="D340" t="s">
        <v>159</v>
      </c>
      <c r="E340" t="s">
        <v>42</v>
      </c>
      <c r="F340" t="s">
        <v>83</v>
      </c>
      <c r="G340" t="s">
        <v>104</v>
      </c>
      <c r="H340" t="s">
        <v>29</v>
      </c>
      <c r="I340">
        <v>22624</v>
      </c>
      <c r="J340">
        <v>8</v>
      </c>
      <c r="K340">
        <v>3.7</v>
      </c>
      <c r="L340">
        <v>1</v>
      </c>
      <c r="M340" t="s">
        <v>87</v>
      </c>
    </row>
    <row r="341" spans="1:13" x14ac:dyDescent="0.3">
      <c r="A341" t="s">
        <v>654</v>
      </c>
      <c r="B341" t="s">
        <v>523</v>
      </c>
      <c r="C341" t="s">
        <v>78</v>
      </c>
      <c r="D341" t="s">
        <v>41</v>
      </c>
      <c r="E341" t="s">
        <v>42</v>
      </c>
      <c r="F341" t="s">
        <v>53</v>
      </c>
      <c r="G341" t="s">
        <v>19</v>
      </c>
      <c r="H341" t="s">
        <v>64</v>
      </c>
      <c r="I341">
        <v>33808</v>
      </c>
      <c r="J341">
        <v>8</v>
      </c>
      <c r="K341">
        <v>4.3</v>
      </c>
      <c r="L341">
        <v>1</v>
      </c>
      <c r="M341" t="s">
        <v>119</v>
      </c>
    </row>
    <row r="342" spans="1:13" x14ac:dyDescent="0.3">
      <c r="A342" t="s">
        <v>655</v>
      </c>
      <c r="B342" t="s">
        <v>656</v>
      </c>
      <c r="C342" t="s">
        <v>112</v>
      </c>
      <c r="D342" t="s">
        <v>69</v>
      </c>
      <c r="E342" t="s">
        <v>26</v>
      </c>
      <c r="F342" t="s">
        <v>100</v>
      </c>
      <c r="G342" t="s">
        <v>104</v>
      </c>
      <c r="H342" t="s">
        <v>29</v>
      </c>
      <c r="I342">
        <v>20432</v>
      </c>
      <c r="J342">
        <v>4</v>
      </c>
      <c r="K342">
        <v>3.3</v>
      </c>
      <c r="L342">
        <v>4</v>
      </c>
      <c r="M342" t="s">
        <v>55</v>
      </c>
    </row>
    <row r="343" spans="1:13" x14ac:dyDescent="0.3">
      <c r="A343" t="s">
        <v>657</v>
      </c>
      <c r="B343" t="s">
        <v>201</v>
      </c>
      <c r="C343" t="s">
        <v>103</v>
      </c>
      <c r="D343" t="s">
        <v>59</v>
      </c>
      <c r="E343" t="s">
        <v>26</v>
      </c>
      <c r="F343" t="s">
        <v>27</v>
      </c>
      <c r="G343" t="s">
        <v>28</v>
      </c>
      <c r="H343" t="s">
        <v>20</v>
      </c>
      <c r="I343">
        <v>10432</v>
      </c>
      <c r="J343">
        <v>4</v>
      </c>
      <c r="K343">
        <v>4.3</v>
      </c>
      <c r="L343">
        <v>8</v>
      </c>
      <c r="M343" t="s">
        <v>55</v>
      </c>
    </row>
    <row r="344" spans="1:13" x14ac:dyDescent="0.3">
      <c r="A344" t="s">
        <v>658</v>
      </c>
      <c r="B344" t="s">
        <v>536</v>
      </c>
      <c r="C344" t="s">
        <v>15</v>
      </c>
      <c r="D344" t="s">
        <v>113</v>
      </c>
      <c r="E344" t="s">
        <v>35</v>
      </c>
      <c r="F344" t="s">
        <v>83</v>
      </c>
      <c r="G344" t="s">
        <v>54</v>
      </c>
      <c r="H344" t="s">
        <v>20</v>
      </c>
      <c r="I344">
        <v>26871</v>
      </c>
      <c r="J344">
        <v>1</v>
      </c>
      <c r="K344">
        <v>3.7</v>
      </c>
      <c r="L344">
        <v>8</v>
      </c>
      <c r="M344" t="s">
        <v>80</v>
      </c>
    </row>
    <row r="345" spans="1:13" x14ac:dyDescent="0.3">
      <c r="A345" t="s">
        <v>659</v>
      </c>
      <c r="B345" t="s">
        <v>660</v>
      </c>
      <c r="C345" t="s">
        <v>170</v>
      </c>
      <c r="D345" t="s">
        <v>116</v>
      </c>
      <c r="E345" t="s">
        <v>17</v>
      </c>
      <c r="F345" t="s">
        <v>18</v>
      </c>
      <c r="G345" t="s">
        <v>19</v>
      </c>
      <c r="H345" t="s">
        <v>36</v>
      </c>
      <c r="I345">
        <v>6960</v>
      </c>
      <c r="J345">
        <v>6</v>
      </c>
      <c r="K345">
        <v>4.5</v>
      </c>
      <c r="L345">
        <v>1</v>
      </c>
      <c r="M345" t="s">
        <v>37</v>
      </c>
    </row>
    <row r="346" spans="1:13" x14ac:dyDescent="0.3">
      <c r="A346" t="s">
        <v>661</v>
      </c>
      <c r="B346" t="s">
        <v>589</v>
      </c>
      <c r="C346" t="s">
        <v>50</v>
      </c>
      <c r="D346" t="s">
        <v>97</v>
      </c>
      <c r="E346" t="s">
        <v>35</v>
      </c>
      <c r="F346" t="s">
        <v>60</v>
      </c>
      <c r="G346" t="s">
        <v>19</v>
      </c>
      <c r="H346" t="s">
        <v>36</v>
      </c>
      <c r="I346">
        <v>282224</v>
      </c>
      <c r="J346">
        <v>8</v>
      </c>
      <c r="K346">
        <v>3.4</v>
      </c>
      <c r="L346">
        <v>4</v>
      </c>
      <c r="M346" t="s">
        <v>87</v>
      </c>
    </row>
    <row r="347" spans="1:13" x14ac:dyDescent="0.3">
      <c r="A347" t="s">
        <v>662</v>
      </c>
      <c r="B347" t="s">
        <v>663</v>
      </c>
      <c r="C347" t="s">
        <v>78</v>
      </c>
      <c r="D347" t="s">
        <v>51</v>
      </c>
      <c r="E347" t="s">
        <v>52</v>
      </c>
      <c r="F347" t="s">
        <v>100</v>
      </c>
      <c r="G347" t="s">
        <v>54</v>
      </c>
      <c r="H347" t="s">
        <v>29</v>
      </c>
      <c r="I347">
        <v>7372</v>
      </c>
      <c r="J347">
        <v>4</v>
      </c>
      <c r="K347">
        <v>4.3</v>
      </c>
      <c r="L347">
        <v>1</v>
      </c>
      <c r="M347" t="s">
        <v>87</v>
      </c>
    </row>
    <row r="348" spans="1:13" x14ac:dyDescent="0.3">
      <c r="A348" t="s">
        <v>664</v>
      </c>
      <c r="B348" t="s">
        <v>597</v>
      </c>
      <c r="C348" t="s">
        <v>24</v>
      </c>
      <c r="D348" t="s">
        <v>46</v>
      </c>
      <c r="E348" t="s">
        <v>42</v>
      </c>
      <c r="F348" t="s">
        <v>53</v>
      </c>
      <c r="G348" t="s">
        <v>54</v>
      </c>
      <c r="H348" t="s">
        <v>64</v>
      </c>
      <c r="I348">
        <v>15798</v>
      </c>
      <c r="J348">
        <v>6</v>
      </c>
      <c r="K348">
        <v>4</v>
      </c>
      <c r="L348">
        <v>1</v>
      </c>
      <c r="M348" t="s">
        <v>37</v>
      </c>
    </row>
    <row r="349" spans="1:13" x14ac:dyDescent="0.3">
      <c r="A349" t="s">
        <v>665</v>
      </c>
      <c r="B349" t="s">
        <v>666</v>
      </c>
      <c r="C349" t="s">
        <v>45</v>
      </c>
      <c r="D349" t="s">
        <v>147</v>
      </c>
      <c r="E349" t="s">
        <v>52</v>
      </c>
      <c r="F349" t="s">
        <v>53</v>
      </c>
      <c r="G349" t="s">
        <v>54</v>
      </c>
      <c r="H349" t="s">
        <v>36</v>
      </c>
      <c r="I349">
        <v>7072</v>
      </c>
      <c r="J349">
        <v>8</v>
      </c>
      <c r="K349">
        <v>3.5</v>
      </c>
      <c r="L349">
        <v>2</v>
      </c>
      <c r="M349" t="s">
        <v>144</v>
      </c>
    </row>
    <row r="350" spans="1:13" x14ac:dyDescent="0.3">
      <c r="A350" t="s">
        <v>667</v>
      </c>
      <c r="B350" t="s">
        <v>668</v>
      </c>
      <c r="C350" t="s">
        <v>146</v>
      </c>
      <c r="D350" t="s">
        <v>34</v>
      </c>
      <c r="E350" t="s">
        <v>35</v>
      </c>
      <c r="F350" t="s">
        <v>27</v>
      </c>
      <c r="G350" t="s">
        <v>19</v>
      </c>
      <c r="H350" t="s">
        <v>36</v>
      </c>
      <c r="I350">
        <v>65994</v>
      </c>
      <c r="J350">
        <v>2</v>
      </c>
      <c r="K350">
        <v>4.5999999999999996</v>
      </c>
      <c r="L350">
        <v>6</v>
      </c>
      <c r="M350" t="s">
        <v>119</v>
      </c>
    </row>
    <row r="351" spans="1:13" x14ac:dyDescent="0.3">
      <c r="A351" t="s">
        <v>669</v>
      </c>
      <c r="B351" t="s">
        <v>670</v>
      </c>
      <c r="C351" t="s">
        <v>179</v>
      </c>
      <c r="D351" t="s">
        <v>46</v>
      </c>
      <c r="E351" t="s">
        <v>42</v>
      </c>
      <c r="F351" t="s">
        <v>100</v>
      </c>
      <c r="G351" t="s">
        <v>19</v>
      </c>
      <c r="H351" t="s">
        <v>29</v>
      </c>
      <c r="I351">
        <v>26395</v>
      </c>
      <c r="J351">
        <v>5</v>
      </c>
      <c r="K351">
        <v>4.2</v>
      </c>
      <c r="L351">
        <v>8</v>
      </c>
      <c r="M351" t="s">
        <v>80</v>
      </c>
    </row>
    <row r="352" spans="1:13" x14ac:dyDescent="0.3">
      <c r="A352" t="s">
        <v>671</v>
      </c>
      <c r="B352" t="s">
        <v>14</v>
      </c>
      <c r="C352" t="s">
        <v>146</v>
      </c>
      <c r="D352" t="s">
        <v>97</v>
      </c>
      <c r="E352" t="s">
        <v>35</v>
      </c>
      <c r="F352" t="s">
        <v>18</v>
      </c>
      <c r="G352" t="s">
        <v>28</v>
      </c>
      <c r="H352" t="s">
        <v>20</v>
      </c>
      <c r="I352">
        <v>68457</v>
      </c>
      <c r="J352">
        <v>3</v>
      </c>
      <c r="K352">
        <v>4.7</v>
      </c>
      <c r="L352">
        <v>6</v>
      </c>
      <c r="M352" t="s">
        <v>21</v>
      </c>
    </row>
    <row r="353" spans="1:13" x14ac:dyDescent="0.3">
      <c r="A353" t="s">
        <v>672</v>
      </c>
      <c r="B353" t="s">
        <v>673</v>
      </c>
      <c r="C353" t="s">
        <v>78</v>
      </c>
      <c r="D353" t="s">
        <v>218</v>
      </c>
      <c r="E353" t="s">
        <v>17</v>
      </c>
      <c r="F353" t="s">
        <v>83</v>
      </c>
      <c r="G353" t="s">
        <v>104</v>
      </c>
      <c r="H353" t="s">
        <v>29</v>
      </c>
      <c r="I353">
        <v>3824</v>
      </c>
      <c r="J353">
        <v>4</v>
      </c>
      <c r="K353">
        <v>4.0999999999999996</v>
      </c>
      <c r="L353">
        <v>8</v>
      </c>
      <c r="M353" t="s">
        <v>192</v>
      </c>
    </row>
    <row r="354" spans="1:13" x14ac:dyDescent="0.3">
      <c r="A354" t="s">
        <v>674</v>
      </c>
      <c r="B354" t="s">
        <v>675</v>
      </c>
      <c r="C354" t="s">
        <v>68</v>
      </c>
      <c r="D354" t="s">
        <v>46</v>
      </c>
      <c r="E354" t="s">
        <v>42</v>
      </c>
      <c r="F354" t="s">
        <v>60</v>
      </c>
      <c r="G354" t="s">
        <v>19</v>
      </c>
      <c r="H354" t="s">
        <v>36</v>
      </c>
      <c r="I354">
        <v>3526</v>
      </c>
      <c r="J354">
        <v>2</v>
      </c>
      <c r="K354">
        <v>4.8</v>
      </c>
      <c r="L354">
        <v>4</v>
      </c>
      <c r="M354" t="s">
        <v>87</v>
      </c>
    </row>
    <row r="355" spans="1:13" x14ac:dyDescent="0.3">
      <c r="A355" t="s">
        <v>676</v>
      </c>
      <c r="B355" t="s">
        <v>275</v>
      </c>
      <c r="C355" t="s">
        <v>15</v>
      </c>
      <c r="D355" t="s">
        <v>116</v>
      </c>
      <c r="E355" t="s">
        <v>17</v>
      </c>
      <c r="F355" t="s">
        <v>83</v>
      </c>
      <c r="G355" t="s">
        <v>28</v>
      </c>
      <c r="H355" t="s">
        <v>36</v>
      </c>
      <c r="I355">
        <v>11008</v>
      </c>
      <c r="J355">
        <v>8</v>
      </c>
      <c r="K355">
        <v>4.3</v>
      </c>
      <c r="L355">
        <v>2</v>
      </c>
      <c r="M355" t="s">
        <v>119</v>
      </c>
    </row>
    <row r="356" spans="1:13" x14ac:dyDescent="0.3">
      <c r="A356" t="s">
        <v>677</v>
      </c>
      <c r="B356" t="s">
        <v>379</v>
      </c>
      <c r="C356" t="s">
        <v>40</v>
      </c>
      <c r="D356" t="s">
        <v>41</v>
      </c>
      <c r="E356" t="s">
        <v>42</v>
      </c>
      <c r="F356" t="s">
        <v>18</v>
      </c>
      <c r="G356" t="s">
        <v>19</v>
      </c>
      <c r="H356" t="s">
        <v>36</v>
      </c>
      <c r="I356">
        <v>20139</v>
      </c>
      <c r="J356">
        <v>7</v>
      </c>
      <c r="K356">
        <v>3.3</v>
      </c>
      <c r="L356">
        <v>2</v>
      </c>
      <c r="M356" t="s">
        <v>55</v>
      </c>
    </row>
    <row r="357" spans="1:13" x14ac:dyDescent="0.3">
      <c r="A357" t="s">
        <v>678</v>
      </c>
      <c r="B357" t="s">
        <v>387</v>
      </c>
      <c r="C357" t="s">
        <v>78</v>
      </c>
      <c r="D357" t="s">
        <v>86</v>
      </c>
      <c r="E357" t="s">
        <v>17</v>
      </c>
      <c r="F357" t="s">
        <v>27</v>
      </c>
      <c r="G357" t="s">
        <v>28</v>
      </c>
      <c r="H357" t="s">
        <v>36</v>
      </c>
      <c r="I357">
        <v>4816</v>
      </c>
      <c r="J357">
        <v>7</v>
      </c>
      <c r="K357">
        <v>4.3</v>
      </c>
      <c r="L357">
        <v>3</v>
      </c>
      <c r="M357" t="s">
        <v>65</v>
      </c>
    </row>
    <row r="358" spans="1:13" x14ac:dyDescent="0.3">
      <c r="A358" t="s">
        <v>679</v>
      </c>
      <c r="B358" t="s">
        <v>141</v>
      </c>
      <c r="C358" t="s">
        <v>24</v>
      </c>
      <c r="D358" t="s">
        <v>59</v>
      </c>
      <c r="E358" t="s">
        <v>26</v>
      </c>
      <c r="F358" t="s">
        <v>100</v>
      </c>
      <c r="G358" t="s">
        <v>28</v>
      </c>
      <c r="H358" t="s">
        <v>29</v>
      </c>
      <c r="I358">
        <v>30040</v>
      </c>
      <c r="J358">
        <v>8</v>
      </c>
      <c r="K358">
        <v>4.2</v>
      </c>
      <c r="L358">
        <v>6</v>
      </c>
      <c r="M358" t="s">
        <v>119</v>
      </c>
    </row>
    <row r="359" spans="1:13" x14ac:dyDescent="0.3">
      <c r="A359" t="s">
        <v>680</v>
      </c>
      <c r="B359" t="s">
        <v>681</v>
      </c>
      <c r="C359" t="s">
        <v>50</v>
      </c>
      <c r="D359" t="s">
        <v>165</v>
      </c>
      <c r="E359" t="s">
        <v>35</v>
      </c>
      <c r="F359" t="s">
        <v>100</v>
      </c>
      <c r="G359" t="s">
        <v>104</v>
      </c>
      <c r="H359" t="s">
        <v>29</v>
      </c>
      <c r="I359">
        <v>269370</v>
      </c>
      <c r="J359">
        <v>6</v>
      </c>
      <c r="K359">
        <v>4.2</v>
      </c>
      <c r="L359">
        <v>4</v>
      </c>
      <c r="M359" t="s">
        <v>126</v>
      </c>
    </row>
    <row r="360" spans="1:13" x14ac:dyDescent="0.3">
      <c r="A360" t="s">
        <v>682</v>
      </c>
      <c r="B360" t="s">
        <v>300</v>
      </c>
      <c r="C360" t="s">
        <v>15</v>
      </c>
      <c r="D360" t="s">
        <v>90</v>
      </c>
      <c r="E360" t="s">
        <v>42</v>
      </c>
      <c r="F360" t="s">
        <v>53</v>
      </c>
      <c r="G360" t="s">
        <v>19</v>
      </c>
      <c r="H360" t="s">
        <v>20</v>
      </c>
      <c r="I360">
        <v>5580</v>
      </c>
      <c r="J360">
        <v>1</v>
      </c>
      <c r="K360">
        <v>4.0999999999999996</v>
      </c>
      <c r="L360">
        <v>5</v>
      </c>
      <c r="M360" t="s">
        <v>55</v>
      </c>
    </row>
    <row r="361" spans="1:13" x14ac:dyDescent="0.3">
      <c r="A361" t="s">
        <v>683</v>
      </c>
      <c r="B361" t="s">
        <v>118</v>
      </c>
      <c r="C361" t="s">
        <v>146</v>
      </c>
      <c r="D361" t="s">
        <v>113</v>
      </c>
      <c r="E361" t="s">
        <v>35</v>
      </c>
      <c r="F361" t="s">
        <v>53</v>
      </c>
      <c r="G361" t="s">
        <v>19</v>
      </c>
      <c r="H361" t="s">
        <v>20</v>
      </c>
      <c r="I361">
        <v>377090</v>
      </c>
      <c r="J361">
        <v>5</v>
      </c>
      <c r="K361">
        <v>3.5</v>
      </c>
      <c r="L361">
        <v>1</v>
      </c>
      <c r="M361" t="s">
        <v>119</v>
      </c>
    </row>
    <row r="362" spans="1:13" x14ac:dyDescent="0.3">
      <c r="A362" t="s">
        <v>684</v>
      </c>
      <c r="B362" t="s">
        <v>413</v>
      </c>
      <c r="C362" t="s">
        <v>75</v>
      </c>
      <c r="D362" t="s">
        <v>130</v>
      </c>
      <c r="E362" t="s">
        <v>35</v>
      </c>
      <c r="F362" t="s">
        <v>27</v>
      </c>
      <c r="G362" t="s">
        <v>104</v>
      </c>
      <c r="H362" t="s">
        <v>64</v>
      </c>
      <c r="I362">
        <v>167444</v>
      </c>
      <c r="J362">
        <v>4</v>
      </c>
      <c r="K362">
        <v>3.9</v>
      </c>
      <c r="L362">
        <v>4</v>
      </c>
      <c r="M362" t="s">
        <v>30</v>
      </c>
    </row>
    <row r="363" spans="1:13" x14ac:dyDescent="0.3">
      <c r="A363" t="s">
        <v>685</v>
      </c>
      <c r="B363" t="s">
        <v>118</v>
      </c>
      <c r="C363" t="s">
        <v>170</v>
      </c>
      <c r="D363" t="s">
        <v>51</v>
      </c>
      <c r="E363" t="s">
        <v>52</v>
      </c>
      <c r="F363" t="s">
        <v>53</v>
      </c>
      <c r="G363" t="s">
        <v>28</v>
      </c>
      <c r="H363" t="s">
        <v>64</v>
      </c>
      <c r="I363">
        <v>2960</v>
      </c>
      <c r="J363">
        <v>2</v>
      </c>
      <c r="K363">
        <v>3.3</v>
      </c>
      <c r="L363">
        <v>1</v>
      </c>
      <c r="M363" t="s">
        <v>119</v>
      </c>
    </row>
    <row r="364" spans="1:13" x14ac:dyDescent="0.3">
      <c r="A364" t="s">
        <v>686</v>
      </c>
      <c r="B364" t="s">
        <v>687</v>
      </c>
      <c r="C364" t="s">
        <v>170</v>
      </c>
      <c r="D364" t="s">
        <v>86</v>
      </c>
      <c r="E364" t="s">
        <v>17</v>
      </c>
      <c r="F364" t="s">
        <v>100</v>
      </c>
      <c r="G364" t="s">
        <v>19</v>
      </c>
      <c r="H364" t="s">
        <v>20</v>
      </c>
      <c r="I364">
        <v>1598</v>
      </c>
      <c r="J364">
        <v>1</v>
      </c>
      <c r="K364">
        <v>3.3</v>
      </c>
      <c r="L364">
        <v>3</v>
      </c>
      <c r="M364" t="s">
        <v>119</v>
      </c>
    </row>
    <row r="365" spans="1:13" x14ac:dyDescent="0.3">
      <c r="A365" t="s">
        <v>688</v>
      </c>
      <c r="B365" t="s">
        <v>306</v>
      </c>
      <c r="C365" t="s">
        <v>125</v>
      </c>
      <c r="D365" t="s">
        <v>116</v>
      </c>
      <c r="E365" t="s">
        <v>17</v>
      </c>
      <c r="F365" t="s">
        <v>100</v>
      </c>
      <c r="G365" t="s">
        <v>54</v>
      </c>
      <c r="H365" t="s">
        <v>64</v>
      </c>
      <c r="I365">
        <v>1508</v>
      </c>
      <c r="J365">
        <v>2</v>
      </c>
      <c r="K365">
        <v>3.4</v>
      </c>
      <c r="L365">
        <v>2</v>
      </c>
      <c r="M365" t="s">
        <v>47</v>
      </c>
    </row>
    <row r="366" spans="1:13" x14ac:dyDescent="0.3">
      <c r="A366" t="s">
        <v>689</v>
      </c>
      <c r="B366" t="s">
        <v>690</v>
      </c>
      <c r="C366" t="s">
        <v>58</v>
      </c>
      <c r="D366" t="s">
        <v>113</v>
      </c>
      <c r="E366" t="s">
        <v>35</v>
      </c>
      <c r="F366" t="s">
        <v>83</v>
      </c>
      <c r="G366" t="s">
        <v>19</v>
      </c>
      <c r="H366" t="s">
        <v>20</v>
      </c>
      <c r="I366">
        <v>141239</v>
      </c>
      <c r="J366">
        <v>7</v>
      </c>
      <c r="K366">
        <v>3.6</v>
      </c>
      <c r="L366">
        <v>7</v>
      </c>
      <c r="M366" t="s">
        <v>55</v>
      </c>
    </row>
    <row r="367" spans="1:13" x14ac:dyDescent="0.3">
      <c r="A367" t="s">
        <v>691</v>
      </c>
      <c r="B367" t="s">
        <v>692</v>
      </c>
      <c r="C367" t="s">
        <v>170</v>
      </c>
      <c r="D367" t="s">
        <v>218</v>
      </c>
      <c r="E367" t="s">
        <v>17</v>
      </c>
      <c r="F367" t="s">
        <v>53</v>
      </c>
      <c r="G367" t="s">
        <v>54</v>
      </c>
      <c r="H367" t="s">
        <v>29</v>
      </c>
      <c r="I367">
        <v>10212</v>
      </c>
      <c r="J367">
        <v>6</v>
      </c>
      <c r="K367">
        <v>3.9</v>
      </c>
      <c r="L367">
        <v>4</v>
      </c>
      <c r="M367" t="s">
        <v>47</v>
      </c>
    </row>
    <row r="368" spans="1:13" x14ac:dyDescent="0.3">
      <c r="A368" t="s">
        <v>693</v>
      </c>
      <c r="B368" t="s">
        <v>595</v>
      </c>
      <c r="C368" t="s">
        <v>72</v>
      </c>
      <c r="D368" t="s">
        <v>109</v>
      </c>
      <c r="E368" t="s">
        <v>52</v>
      </c>
      <c r="F368" t="s">
        <v>27</v>
      </c>
      <c r="G368" t="s">
        <v>54</v>
      </c>
      <c r="H368" t="s">
        <v>36</v>
      </c>
      <c r="I368">
        <v>6776</v>
      </c>
      <c r="J368">
        <v>8</v>
      </c>
      <c r="K368">
        <v>3.6</v>
      </c>
      <c r="L368">
        <v>6</v>
      </c>
      <c r="M368" t="s">
        <v>192</v>
      </c>
    </row>
    <row r="369" spans="1:13" x14ac:dyDescent="0.3">
      <c r="A369" t="s">
        <v>694</v>
      </c>
      <c r="B369" t="s">
        <v>673</v>
      </c>
      <c r="C369" t="s">
        <v>170</v>
      </c>
      <c r="D369" t="s">
        <v>86</v>
      </c>
      <c r="E369" t="s">
        <v>17</v>
      </c>
      <c r="F369" t="s">
        <v>83</v>
      </c>
      <c r="G369" t="s">
        <v>19</v>
      </c>
      <c r="H369" t="s">
        <v>20</v>
      </c>
      <c r="I369">
        <v>2667</v>
      </c>
      <c r="J369">
        <v>3</v>
      </c>
      <c r="K369">
        <v>4</v>
      </c>
      <c r="L369">
        <v>1</v>
      </c>
      <c r="M369" t="s">
        <v>192</v>
      </c>
    </row>
    <row r="370" spans="1:13" x14ac:dyDescent="0.3">
      <c r="A370" t="s">
        <v>695</v>
      </c>
      <c r="B370" t="s">
        <v>149</v>
      </c>
      <c r="C370" t="s">
        <v>103</v>
      </c>
      <c r="D370" t="s">
        <v>59</v>
      </c>
      <c r="E370" t="s">
        <v>26</v>
      </c>
      <c r="F370" t="s">
        <v>83</v>
      </c>
      <c r="G370" t="s">
        <v>54</v>
      </c>
      <c r="H370" t="s">
        <v>29</v>
      </c>
      <c r="I370">
        <v>82808</v>
      </c>
      <c r="J370">
        <v>8</v>
      </c>
      <c r="K370">
        <v>4.8</v>
      </c>
      <c r="L370">
        <v>1</v>
      </c>
      <c r="M370" t="s">
        <v>30</v>
      </c>
    </row>
    <row r="371" spans="1:13" x14ac:dyDescent="0.3">
      <c r="A371" t="s">
        <v>696</v>
      </c>
      <c r="B371" t="s">
        <v>697</v>
      </c>
      <c r="C371" t="s">
        <v>68</v>
      </c>
      <c r="D371" t="s">
        <v>109</v>
      </c>
      <c r="E371" t="s">
        <v>52</v>
      </c>
      <c r="F371" t="s">
        <v>18</v>
      </c>
      <c r="G371" t="s">
        <v>104</v>
      </c>
      <c r="H371" t="s">
        <v>64</v>
      </c>
      <c r="I371">
        <v>2272</v>
      </c>
      <c r="J371">
        <v>8</v>
      </c>
      <c r="K371">
        <v>3.7</v>
      </c>
      <c r="L371">
        <v>6</v>
      </c>
      <c r="M371" t="s">
        <v>144</v>
      </c>
    </row>
    <row r="372" spans="1:13" x14ac:dyDescent="0.3">
      <c r="A372" t="s">
        <v>698</v>
      </c>
      <c r="B372" t="s">
        <v>62</v>
      </c>
      <c r="C372" t="s">
        <v>78</v>
      </c>
      <c r="D372" t="s">
        <v>51</v>
      </c>
      <c r="E372" t="s">
        <v>52</v>
      </c>
      <c r="F372" t="s">
        <v>27</v>
      </c>
      <c r="G372" t="s">
        <v>54</v>
      </c>
      <c r="H372" t="s">
        <v>36</v>
      </c>
      <c r="I372">
        <v>4470</v>
      </c>
      <c r="J372">
        <v>2</v>
      </c>
      <c r="K372">
        <v>3.5</v>
      </c>
      <c r="L372">
        <v>8</v>
      </c>
      <c r="M372" t="s">
        <v>65</v>
      </c>
    </row>
    <row r="373" spans="1:13" x14ac:dyDescent="0.3">
      <c r="A373" t="s">
        <v>699</v>
      </c>
      <c r="B373" t="s">
        <v>124</v>
      </c>
      <c r="C373" t="s">
        <v>122</v>
      </c>
      <c r="D373" t="s">
        <v>109</v>
      </c>
      <c r="E373" t="s">
        <v>52</v>
      </c>
      <c r="F373" t="s">
        <v>100</v>
      </c>
      <c r="G373" t="s">
        <v>104</v>
      </c>
      <c r="H373" t="s">
        <v>36</v>
      </c>
      <c r="I373">
        <v>7144</v>
      </c>
      <c r="J373">
        <v>8</v>
      </c>
      <c r="K373">
        <v>3.8</v>
      </c>
      <c r="L373">
        <v>5</v>
      </c>
      <c r="M373" t="s">
        <v>126</v>
      </c>
    </row>
    <row r="374" spans="1:13" x14ac:dyDescent="0.3">
      <c r="A374" t="s">
        <v>700</v>
      </c>
      <c r="B374" t="s">
        <v>308</v>
      </c>
      <c r="C374" t="s">
        <v>112</v>
      </c>
      <c r="D374" t="s">
        <v>97</v>
      </c>
      <c r="E374" t="s">
        <v>35</v>
      </c>
      <c r="F374" t="s">
        <v>27</v>
      </c>
      <c r="G374" t="s">
        <v>19</v>
      </c>
      <c r="H374" t="s">
        <v>64</v>
      </c>
      <c r="I374">
        <v>236490</v>
      </c>
      <c r="J374">
        <v>5</v>
      </c>
      <c r="K374">
        <v>3.4</v>
      </c>
      <c r="L374">
        <v>7</v>
      </c>
      <c r="M374" t="s">
        <v>144</v>
      </c>
    </row>
    <row r="375" spans="1:13" x14ac:dyDescent="0.3">
      <c r="A375" t="s">
        <v>701</v>
      </c>
      <c r="B375" t="s">
        <v>702</v>
      </c>
      <c r="C375" t="s">
        <v>58</v>
      </c>
      <c r="D375" t="s">
        <v>63</v>
      </c>
      <c r="E375" t="s">
        <v>52</v>
      </c>
      <c r="F375" t="s">
        <v>100</v>
      </c>
      <c r="G375" t="s">
        <v>19</v>
      </c>
      <c r="H375" t="s">
        <v>20</v>
      </c>
      <c r="I375">
        <v>7990</v>
      </c>
      <c r="J375">
        <v>5</v>
      </c>
      <c r="K375">
        <v>3.6</v>
      </c>
      <c r="L375">
        <v>3</v>
      </c>
      <c r="M375" t="s">
        <v>47</v>
      </c>
    </row>
    <row r="376" spans="1:13" x14ac:dyDescent="0.3">
      <c r="A376" t="s">
        <v>703</v>
      </c>
      <c r="B376" t="s">
        <v>363</v>
      </c>
      <c r="C376" t="s">
        <v>24</v>
      </c>
      <c r="D376" t="s">
        <v>165</v>
      </c>
      <c r="E376" t="s">
        <v>35</v>
      </c>
      <c r="F376" t="s">
        <v>53</v>
      </c>
      <c r="G376" t="s">
        <v>19</v>
      </c>
      <c r="H376" t="s">
        <v>36</v>
      </c>
      <c r="I376">
        <v>308798</v>
      </c>
      <c r="J376">
        <v>7</v>
      </c>
      <c r="K376">
        <v>4.2</v>
      </c>
      <c r="L376">
        <v>2</v>
      </c>
      <c r="M376" t="s">
        <v>80</v>
      </c>
    </row>
    <row r="377" spans="1:13" x14ac:dyDescent="0.3">
      <c r="A377" t="s">
        <v>704</v>
      </c>
      <c r="B377" t="s">
        <v>705</v>
      </c>
      <c r="C377" t="s">
        <v>45</v>
      </c>
      <c r="D377" t="s">
        <v>97</v>
      </c>
      <c r="E377" t="s">
        <v>35</v>
      </c>
      <c r="F377" t="s">
        <v>100</v>
      </c>
      <c r="G377" t="s">
        <v>104</v>
      </c>
      <c r="H377" t="s">
        <v>20</v>
      </c>
      <c r="I377">
        <v>112085</v>
      </c>
      <c r="J377">
        <v>5</v>
      </c>
      <c r="K377">
        <v>3.4</v>
      </c>
      <c r="L377">
        <v>1</v>
      </c>
      <c r="M377" t="s">
        <v>55</v>
      </c>
    </row>
    <row r="378" spans="1:13" x14ac:dyDescent="0.3">
      <c r="A378" t="s">
        <v>706</v>
      </c>
      <c r="B378" t="s">
        <v>178</v>
      </c>
      <c r="C378" t="s">
        <v>129</v>
      </c>
      <c r="D378" t="s">
        <v>79</v>
      </c>
      <c r="E378" t="s">
        <v>26</v>
      </c>
      <c r="F378" t="s">
        <v>83</v>
      </c>
      <c r="G378" t="s">
        <v>28</v>
      </c>
      <c r="H378" t="s">
        <v>64</v>
      </c>
      <c r="I378">
        <v>9030</v>
      </c>
      <c r="J378">
        <v>1</v>
      </c>
      <c r="K378">
        <v>4.7</v>
      </c>
      <c r="L378">
        <v>8</v>
      </c>
      <c r="M378" t="s">
        <v>37</v>
      </c>
    </row>
    <row r="379" spans="1:13" x14ac:dyDescent="0.3">
      <c r="A379" t="s">
        <v>707</v>
      </c>
      <c r="B379" t="s">
        <v>708</v>
      </c>
      <c r="C379" t="s">
        <v>179</v>
      </c>
      <c r="D379" t="s">
        <v>159</v>
      </c>
      <c r="E379" t="s">
        <v>42</v>
      </c>
      <c r="F379" t="s">
        <v>83</v>
      </c>
      <c r="G379" t="s">
        <v>54</v>
      </c>
      <c r="H379" t="s">
        <v>20</v>
      </c>
      <c r="I379">
        <v>3288</v>
      </c>
      <c r="J379">
        <v>4</v>
      </c>
      <c r="K379">
        <v>4.9000000000000004</v>
      </c>
      <c r="L379">
        <v>4</v>
      </c>
      <c r="M379" t="s">
        <v>80</v>
      </c>
    </row>
    <row r="380" spans="1:13" x14ac:dyDescent="0.3">
      <c r="A380" t="s">
        <v>709</v>
      </c>
      <c r="B380" t="s">
        <v>523</v>
      </c>
      <c r="C380" t="s">
        <v>170</v>
      </c>
      <c r="D380" t="s">
        <v>90</v>
      </c>
      <c r="E380" t="s">
        <v>42</v>
      </c>
      <c r="F380" t="s">
        <v>60</v>
      </c>
      <c r="G380" t="s">
        <v>54</v>
      </c>
      <c r="H380" t="s">
        <v>36</v>
      </c>
      <c r="I380">
        <v>24096</v>
      </c>
      <c r="J380">
        <v>6</v>
      </c>
      <c r="K380">
        <v>4.3</v>
      </c>
      <c r="L380">
        <v>7</v>
      </c>
      <c r="M380" t="s">
        <v>119</v>
      </c>
    </row>
    <row r="381" spans="1:13" x14ac:dyDescent="0.3">
      <c r="A381" t="s">
        <v>710</v>
      </c>
      <c r="B381" t="s">
        <v>666</v>
      </c>
      <c r="C381" t="s">
        <v>179</v>
      </c>
      <c r="D381" t="s">
        <v>90</v>
      </c>
      <c r="E381" t="s">
        <v>42</v>
      </c>
      <c r="F381" t="s">
        <v>53</v>
      </c>
      <c r="G381" t="s">
        <v>28</v>
      </c>
      <c r="H381" t="s">
        <v>64</v>
      </c>
      <c r="I381">
        <v>4084</v>
      </c>
      <c r="J381">
        <v>4</v>
      </c>
      <c r="K381">
        <v>3.9</v>
      </c>
      <c r="L381">
        <v>1</v>
      </c>
      <c r="M381" t="s">
        <v>144</v>
      </c>
    </row>
    <row r="382" spans="1:13" x14ac:dyDescent="0.3">
      <c r="A382" t="s">
        <v>711</v>
      </c>
      <c r="B382" t="s">
        <v>158</v>
      </c>
      <c r="C382" t="s">
        <v>146</v>
      </c>
      <c r="D382" t="s">
        <v>130</v>
      </c>
      <c r="E382" t="s">
        <v>35</v>
      </c>
      <c r="F382" t="s">
        <v>18</v>
      </c>
      <c r="G382" t="s">
        <v>54</v>
      </c>
      <c r="H382" t="s">
        <v>20</v>
      </c>
      <c r="I382">
        <v>248592</v>
      </c>
      <c r="J382">
        <v>3</v>
      </c>
      <c r="K382">
        <v>4.8</v>
      </c>
      <c r="L382">
        <v>8</v>
      </c>
      <c r="M382" t="s">
        <v>47</v>
      </c>
    </row>
    <row r="383" spans="1:13" x14ac:dyDescent="0.3">
      <c r="A383" t="s">
        <v>712</v>
      </c>
      <c r="B383" t="s">
        <v>713</v>
      </c>
      <c r="C383" t="s">
        <v>146</v>
      </c>
      <c r="D383" t="s">
        <v>79</v>
      </c>
      <c r="E383" t="s">
        <v>26</v>
      </c>
      <c r="F383" t="s">
        <v>18</v>
      </c>
      <c r="G383" t="s">
        <v>104</v>
      </c>
      <c r="H383" t="s">
        <v>29</v>
      </c>
      <c r="I383">
        <v>57631</v>
      </c>
      <c r="J383">
        <v>7</v>
      </c>
      <c r="K383">
        <v>4.3</v>
      </c>
      <c r="L383">
        <v>4</v>
      </c>
      <c r="M383" t="s">
        <v>55</v>
      </c>
    </row>
    <row r="384" spans="1:13" x14ac:dyDescent="0.3">
      <c r="A384" t="s">
        <v>714</v>
      </c>
      <c r="B384" t="s">
        <v>359</v>
      </c>
      <c r="C384" t="s">
        <v>50</v>
      </c>
      <c r="D384" t="s">
        <v>147</v>
      </c>
      <c r="E384" t="s">
        <v>52</v>
      </c>
      <c r="F384" t="s">
        <v>100</v>
      </c>
      <c r="G384" t="s">
        <v>28</v>
      </c>
      <c r="H384" t="s">
        <v>36</v>
      </c>
      <c r="I384">
        <v>4180</v>
      </c>
      <c r="J384">
        <v>2</v>
      </c>
      <c r="K384">
        <v>4.5</v>
      </c>
      <c r="L384">
        <v>3</v>
      </c>
      <c r="M384" t="s">
        <v>87</v>
      </c>
    </row>
    <row r="385" spans="1:13" x14ac:dyDescent="0.3">
      <c r="A385" t="s">
        <v>715</v>
      </c>
      <c r="B385" t="s">
        <v>716</v>
      </c>
      <c r="C385" t="s">
        <v>40</v>
      </c>
      <c r="D385" t="s">
        <v>109</v>
      </c>
      <c r="E385" t="s">
        <v>52</v>
      </c>
      <c r="F385" t="s">
        <v>27</v>
      </c>
      <c r="G385" t="s">
        <v>19</v>
      </c>
      <c r="H385" t="s">
        <v>36</v>
      </c>
      <c r="I385">
        <v>2526</v>
      </c>
      <c r="J385">
        <v>3</v>
      </c>
      <c r="K385">
        <v>3.8</v>
      </c>
      <c r="L385">
        <v>8</v>
      </c>
      <c r="M385" t="s">
        <v>30</v>
      </c>
    </row>
    <row r="386" spans="1:13" x14ac:dyDescent="0.3">
      <c r="A386" t="s">
        <v>717</v>
      </c>
      <c r="B386" t="s">
        <v>361</v>
      </c>
      <c r="C386" t="s">
        <v>122</v>
      </c>
      <c r="D386" t="s">
        <v>63</v>
      </c>
      <c r="E386" t="s">
        <v>52</v>
      </c>
      <c r="F386" t="s">
        <v>83</v>
      </c>
      <c r="G386" t="s">
        <v>28</v>
      </c>
      <c r="H386" t="s">
        <v>64</v>
      </c>
      <c r="I386">
        <v>10640</v>
      </c>
      <c r="J386">
        <v>5</v>
      </c>
      <c r="K386">
        <v>4.7</v>
      </c>
      <c r="L386">
        <v>8</v>
      </c>
      <c r="M386" t="s">
        <v>144</v>
      </c>
    </row>
    <row r="387" spans="1:13" x14ac:dyDescent="0.3">
      <c r="A387" t="s">
        <v>718</v>
      </c>
      <c r="B387" t="s">
        <v>290</v>
      </c>
      <c r="C387" t="s">
        <v>33</v>
      </c>
      <c r="D387" t="s">
        <v>90</v>
      </c>
      <c r="E387" t="s">
        <v>42</v>
      </c>
      <c r="F387" t="s">
        <v>83</v>
      </c>
      <c r="G387" t="s">
        <v>19</v>
      </c>
      <c r="H387" t="s">
        <v>36</v>
      </c>
      <c r="I387">
        <v>5777</v>
      </c>
      <c r="J387">
        <v>1</v>
      </c>
      <c r="K387">
        <v>4.2</v>
      </c>
      <c r="L387">
        <v>4</v>
      </c>
      <c r="M387" t="s">
        <v>87</v>
      </c>
    </row>
    <row r="388" spans="1:13" x14ac:dyDescent="0.3">
      <c r="A388" t="s">
        <v>719</v>
      </c>
      <c r="B388" t="s">
        <v>404</v>
      </c>
      <c r="C388" t="s">
        <v>24</v>
      </c>
      <c r="D388" t="s">
        <v>113</v>
      </c>
      <c r="E388" t="s">
        <v>35</v>
      </c>
      <c r="F388" t="s">
        <v>27</v>
      </c>
      <c r="G388" t="s">
        <v>104</v>
      </c>
      <c r="H388" t="s">
        <v>20</v>
      </c>
      <c r="I388">
        <v>45899</v>
      </c>
      <c r="J388">
        <v>1</v>
      </c>
      <c r="K388">
        <v>3.4</v>
      </c>
      <c r="L388">
        <v>3</v>
      </c>
      <c r="M388" t="s">
        <v>80</v>
      </c>
    </row>
    <row r="389" spans="1:13" x14ac:dyDescent="0.3">
      <c r="A389" t="s">
        <v>720</v>
      </c>
      <c r="B389" t="s">
        <v>603</v>
      </c>
      <c r="C389" t="s">
        <v>40</v>
      </c>
      <c r="D389" t="s">
        <v>46</v>
      </c>
      <c r="E389" t="s">
        <v>42</v>
      </c>
      <c r="F389" t="s">
        <v>60</v>
      </c>
      <c r="G389" t="s">
        <v>19</v>
      </c>
      <c r="H389" t="s">
        <v>36</v>
      </c>
      <c r="I389">
        <v>7608</v>
      </c>
      <c r="J389">
        <v>2</v>
      </c>
      <c r="K389">
        <v>4.5999999999999996</v>
      </c>
      <c r="L389">
        <v>2</v>
      </c>
      <c r="M389" t="s">
        <v>144</v>
      </c>
    </row>
    <row r="390" spans="1:13" x14ac:dyDescent="0.3">
      <c r="A390" t="s">
        <v>721</v>
      </c>
      <c r="B390" t="s">
        <v>722</v>
      </c>
      <c r="C390" t="s">
        <v>125</v>
      </c>
      <c r="D390" t="s">
        <v>130</v>
      </c>
      <c r="E390" t="s">
        <v>35</v>
      </c>
      <c r="F390" t="s">
        <v>27</v>
      </c>
      <c r="G390" t="s">
        <v>104</v>
      </c>
      <c r="H390" t="s">
        <v>64</v>
      </c>
      <c r="I390">
        <v>209300</v>
      </c>
      <c r="J390">
        <v>7</v>
      </c>
      <c r="K390">
        <v>3.4</v>
      </c>
      <c r="L390">
        <v>2</v>
      </c>
      <c r="M390" t="s">
        <v>65</v>
      </c>
    </row>
    <row r="391" spans="1:13" x14ac:dyDescent="0.3">
      <c r="A391" t="s">
        <v>723</v>
      </c>
      <c r="B391" t="s">
        <v>533</v>
      </c>
      <c r="C391" t="s">
        <v>45</v>
      </c>
      <c r="D391" t="s">
        <v>59</v>
      </c>
      <c r="E391" t="s">
        <v>26</v>
      </c>
      <c r="F391" t="s">
        <v>83</v>
      </c>
      <c r="G391" t="s">
        <v>104</v>
      </c>
      <c r="H391" t="s">
        <v>20</v>
      </c>
      <c r="I391">
        <v>53724</v>
      </c>
      <c r="J391">
        <v>6</v>
      </c>
      <c r="K391">
        <v>4.0999999999999996</v>
      </c>
      <c r="L391">
        <v>3</v>
      </c>
      <c r="M391" t="s">
        <v>21</v>
      </c>
    </row>
    <row r="392" spans="1:13" x14ac:dyDescent="0.3">
      <c r="A392" t="s">
        <v>724</v>
      </c>
      <c r="B392" t="s">
        <v>143</v>
      </c>
      <c r="C392" t="s">
        <v>129</v>
      </c>
      <c r="D392" t="s">
        <v>16</v>
      </c>
      <c r="E392" t="s">
        <v>17</v>
      </c>
      <c r="F392" t="s">
        <v>100</v>
      </c>
      <c r="G392" t="s">
        <v>19</v>
      </c>
      <c r="H392" t="s">
        <v>36</v>
      </c>
      <c r="I392">
        <v>12640</v>
      </c>
      <c r="J392">
        <v>8</v>
      </c>
      <c r="K392">
        <v>3.9</v>
      </c>
      <c r="L392">
        <v>6</v>
      </c>
      <c r="M392" t="s">
        <v>144</v>
      </c>
    </row>
    <row r="393" spans="1:13" x14ac:dyDescent="0.3">
      <c r="A393" t="s">
        <v>725</v>
      </c>
      <c r="B393" t="s">
        <v>135</v>
      </c>
      <c r="C393" t="s">
        <v>170</v>
      </c>
      <c r="D393" t="s">
        <v>109</v>
      </c>
      <c r="E393" t="s">
        <v>52</v>
      </c>
      <c r="F393" t="s">
        <v>53</v>
      </c>
      <c r="G393" t="s">
        <v>28</v>
      </c>
      <c r="H393" t="s">
        <v>36</v>
      </c>
      <c r="I393">
        <v>2958</v>
      </c>
      <c r="J393">
        <v>2</v>
      </c>
      <c r="K393">
        <v>4.5999999999999996</v>
      </c>
      <c r="L393">
        <v>2</v>
      </c>
      <c r="M393" t="s">
        <v>21</v>
      </c>
    </row>
    <row r="394" spans="1:13" x14ac:dyDescent="0.3">
      <c r="A394" t="s">
        <v>726</v>
      </c>
      <c r="B394" t="s">
        <v>727</v>
      </c>
      <c r="C394" t="s">
        <v>146</v>
      </c>
      <c r="D394" t="s">
        <v>63</v>
      </c>
      <c r="E394" t="s">
        <v>52</v>
      </c>
      <c r="F394" t="s">
        <v>100</v>
      </c>
      <c r="G394" t="s">
        <v>104</v>
      </c>
      <c r="H394" t="s">
        <v>64</v>
      </c>
      <c r="I394">
        <v>13272</v>
      </c>
      <c r="J394">
        <v>6</v>
      </c>
      <c r="K394">
        <v>3.4</v>
      </c>
      <c r="L394">
        <v>3</v>
      </c>
      <c r="M394" t="s">
        <v>126</v>
      </c>
    </row>
    <row r="395" spans="1:13" x14ac:dyDescent="0.3">
      <c r="A395" t="s">
        <v>728</v>
      </c>
      <c r="B395" t="s">
        <v>729</v>
      </c>
      <c r="C395" t="s">
        <v>129</v>
      </c>
      <c r="D395" t="s">
        <v>41</v>
      </c>
      <c r="E395" t="s">
        <v>42</v>
      </c>
      <c r="F395" t="s">
        <v>18</v>
      </c>
      <c r="G395" t="s">
        <v>19</v>
      </c>
      <c r="H395" t="s">
        <v>29</v>
      </c>
      <c r="I395">
        <v>25445</v>
      </c>
      <c r="J395">
        <v>5</v>
      </c>
      <c r="K395">
        <v>3.6</v>
      </c>
      <c r="L395">
        <v>6</v>
      </c>
      <c r="M395" t="s">
        <v>65</v>
      </c>
    </row>
    <row r="396" spans="1:13" x14ac:dyDescent="0.3">
      <c r="A396" t="s">
        <v>730</v>
      </c>
      <c r="B396" t="s">
        <v>731</v>
      </c>
      <c r="C396" t="s">
        <v>170</v>
      </c>
      <c r="D396" t="s">
        <v>218</v>
      </c>
      <c r="E396" t="s">
        <v>17</v>
      </c>
      <c r="F396" t="s">
        <v>27</v>
      </c>
      <c r="G396" t="s">
        <v>54</v>
      </c>
      <c r="H396" t="s">
        <v>29</v>
      </c>
      <c r="I396">
        <v>4407</v>
      </c>
      <c r="J396">
        <v>3</v>
      </c>
      <c r="K396">
        <v>4.8</v>
      </c>
      <c r="L396">
        <v>5</v>
      </c>
      <c r="M396" t="s">
        <v>55</v>
      </c>
    </row>
    <row r="397" spans="1:13" x14ac:dyDescent="0.3">
      <c r="A397" t="s">
        <v>732</v>
      </c>
      <c r="B397" t="s">
        <v>220</v>
      </c>
      <c r="C397" t="s">
        <v>129</v>
      </c>
      <c r="D397" t="s">
        <v>41</v>
      </c>
      <c r="E397" t="s">
        <v>42</v>
      </c>
      <c r="F397" t="s">
        <v>18</v>
      </c>
      <c r="G397" t="s">
        <v>19</v>
      </c>
      <c r="H397" t="s">
        <v>36</v>
      </c>
      <c r="I397">
        <v>9880</v>
      </c>
      <c r="J397">
        <v>4</v>
      </c>
      <c r="K397">
        <v>3.7</v>
      </c>
      <c r="L397">
        <v>2</v>
      </c>
      <c r="M397" t="s">
        <v>65</v>
      </c>
    </row>
    <row r="398" spans="1:13" x14ac:dyDescent="0.3">
      <c r="A398" t="s">
        <v>733</v>
      </c>
      <c r="B398" t="s">
        <v>734</v>
      </c>
      <c r="C398" t="s">
        <v>68</v>
      </c>
      <c r="D398" t="s">
        <v>41</v>
      </c>
      <c r="E398" t="s">
        <v>42</v>
      </c>
      <c r="F398" t="s">
        <v>100</v>
      </c>
      <c r="G398" t="s">
        <v>19</v>
      </c>
      <c r="H398" t="s">
        <v>20</v>
      </c>
      <c r="I398">
        <v>14967</v>
      </c>
      <c r="J398">
        <v>3</v>
      </c>
      <c r="K398">
        <v>4.5999999999999996</v>
      </c>
      <c r="L398">
        <v>3</v>
      </c>
      <c r="M398" t="s">
        <v>65</v>
      </c>
    </row>
    <row r="399" spans="1:13" x14ac:dyDescent="0.3">
      <c r="A399" t="s">
        <v>735</v>
      </c>
      <c r="B399" t="s">
        <v>454</v>
      </c>
      <c r="C399" t="s">
        <v>68</v>
      </c>
      <c r="D399" t="s">
        <v>116</v>
      </c>
      <c r="E399" t="s">
        <v>17</v>
      </c>
      <c r="F399" t="s">
        <v>100</v>
      </c>
      <c r="G399" t="s">
        <v>104</v>
      </c>
      <c r="H399" t="s">
        <v>36</v>
      </c>
      <c r="I399">
        <v>616</v>
      </c>
      <c r="J399">
        <v>2</v>
      </c>
      <c r="K399">
        <v>3.8</v>
      </c>
      <c r="L399">
        <v>1</v>
      </c>
      <c r="M399" t="s">
        <v>55</v>
      </c>
    </row>
    <row r="400" spans="1:13" x14ac:dyDescent="0.3">
      <c r="A400" t="s">
        <v>736</v>
      </c>
      <c r="B400" t="s">
        <v>737</v>
      </c>
      <c r="C400" t="s">
        <v>68</v>
      </c>
      <c r="D400" t="s">
        <v>59</v>
      </c>
      <c r="E400" t="s">
        <v>26</v>
      </c>
      <c r="F400" t="s">
        <v>53</v>
      </c>
      <c r="G400" t="s">
        <v>19</v>
      </c>
      <c r="H400" t="s">
        <v>20</v>
      </c>
      <c r="I400">
        <v>21328</v>
      </c>
      <c r="J400">
        <v>4</v>
      </c>
      <c r="K400">
        <v>4.2</v>
      </c>
      <c r="L400">
        <v>8</v>
      </c>
      <c r="M400" t="s">
        <v>192</v>
      </c>
    </row>
    <row r="401" spans="1:13" x14ac:dyDescent="0.3">
      <c r="A401" t="s">
        <v>738</v>
      </c>
      <c r="B401" t="s">
        <v>739</v>
      </c>
      <c r="C401" t="s">
        <v>58</v>
      </c>
      <c r="D401" t="s">
        <v>113</v>
      </c>
      <c r="E401" t="s">
        <v>35</v>
      </c>
      <c r="F401" t="s">
        <v>83</v>
      </c>
      <c r="G401" t="s">
        <v>19</v>
      </c>
      <c r="H401" t="s">
        <v>36</v>
      </c>
      <c r="I401">
        <v>96832</v>
      </c>
      <c r="J401">
        <v>2</v>
      </c>
      <c r="K401">
        <v>3.7</v>
      </c>
      <c r="L401">
        <v>5</v>
      </c>
      <c r="M401" t="s">
        <v>144</v>
      </c>
    </row>
    <row r="402" spans="1:13" x14ac:dyDescent="0.3">
      <c r="A402" t="s">
        <v>740</v>
      </c>
      <c r="B402" t="s">
        <v>624</v>
      </c>
      <c r="C402" t="s">
        <v>33</v>
      </c>
      <c r="D402" t="s">
        <v>165</v>
      </c>
      <c r="E402" t="s">
        <v>35</v>
      </c>
      <c r="F402" t="s">
        <v>18</v>
      </c>
      <c r="G402" t="s">
        <v>28</v>
      </c>
      <c r="H402" t="s">
        <v>64</v>
      </c>
      <c r="I402">
        <v>50400</v>
      </c>
      <c r="J402">
        <v>8</v>
      </c>
      <c r="K402">
        <v>3.3</v>
      </c>
      <c r="L402">
        <v>7</v>
      </c>
      <c r="M402" t="s">
        <v>126</v>
      </c>
    </row>
    <row r="403" spans="1:13" x14ac:dyDescent="0.3">
      <c r="A403" t="s">
        <v>741</v>
      </c>
      <c r="B403" t="s">
        <v>595</v>
      </c>
      <c r="C403" t="s">
        <v>58</v>
      </c>
      <c r="D403" t="s">
        <v>51</v>
      </c>
      <c r="E403" t="s">
        <v>52</v>
      </c>
      <c r="F403" t="s">
        <v>83</v>
      </c>
      <c r="G403" t="s">
        <v>54</v>
      </c>
      <c r="H403" t="s">
        <v>64</v>
      </c>
      <c r="I403">
        <v>9666</v>
      </c>
      <c r="J403">
        <v>6</v>
      </c>
      <c r="K403">
        <v>5</v>
      </c>
      <c r="L403">
        <v>8</v>
      </c>
      <c r="M403" t="s">
        <v>192</v>
      </c>
    </row>
    <row r="404" spans="1:13" x14ac:dyDescent="0.3">
      <c r="A404" t="s">
        <v>742</v>
      </c>
      <c r="B404" t="s">
        <v>743</v>
      </c>
      <c r="C404" t="s">
        <v>50</v>
      </c>
      <c r="D404" t="s">
        <v>116</v>
      </c>
      <c r="E404" t="s">
        <v>17</v>
      </c>
      <c r="F404" t="s">
        <v>83</v>
      </c>
      <c r="G404" t="s">
        <v>104</v>
      </c>
      <c r="H404" t="s">
        <v>29</v>
      </c>
      <c r="I404">
        <v>10104</v>
      </c>
      <c r="J404">
        <v>8</v>
      </c>
      <c r="K404">
        <v>3.7</v>
      </c>
      <c r="L404">
        <v>6</v>
      </c>
      <c r="M404" t="s">
        <v>126</v>
      </c>
    </row>
    <row r="405" spans="1:13" x14ac:dyDescent="0.3">
      <c r="A405" t="s">
        <v>744</v>
      </c>
      <c r="B405" t="s">
        <v>308</v>
      </c>
      <c r="C405" t="s">
        <v>129</v>
      </c>
      <c r="D405" t="s">
        <v>90</v>
      </c>
      <c r="E405" t="s">
        <v>42</v>
      </c>
      <c r="F405" t="s">
        <v>100</v>
      </c>
      <c r="G405" t="s">
        <v>19</v>
      </c>
      <c r="H405" t="s">
        <v>36</v>
      </c>
      <c r="I405">
        <v>9242</v>
      </c>
      <c r="J405">
        <v>2</v>
      </c>
      <c r="K405">
        <v>4.7</v>
      </c>
      <c r="L405">
        <v>5</v>
      </c>
      <c r="M405" t="s">
        <v>144</v>
      </c>
    </row>
    <row r="406" spans="1:13" x14ac:dyDescent="0.3">
      <c r="A406" t="s">
        <v>745</v>
      </c>
      <c r="B406" t="s">
        <v>681</v>
      </c>
      <c r="C406" t="s">
        <v>78</v>
      </c>
      <c r="D406" t="s">
        <v>41</v>
      </c>
      <c r="E406" t="s">
        <v>42</v>
      </c>
      <c r="F406" t="s">
        <v>83</v>
      </c>
      <c r="G406" t="s">
        <v>28</v>
      </c>
      <c r="H406" t="s">
        <v>64</v>
      </c>
      <c r="I406">
        <v>7966</v>
      </c>
      <c r="J406">
        <v>2</v>
      </c>
      <c r="K406">
        <v>3.9</v>
      </c>
      <c r="L406">
        <v>4</v>
      </c>
      <c r="M406" t="s">
        <v>126</v>
      </c>
    </row>
    <row r="407" spans="1:13" x14ac:dyDescent="0.3">
      <c r="A407" t="s">
        <v>746</v>
      </c>
      <c r="B407" t="s">
        <v>475</v>
      </c>
      <c r="C407" t="s">
        <v>58</v>
      </c>
      <c r="D407" t="s">
        <v>218</v>
      </c>
      <c r="E407" t="s">
        <v>17</v>
      </c>
      <c r="F407" t="s">
        <v>60</v>
      </c>
      <c r="G407" t="s">
        <v>54</v>
      </c>
      <c r="H407" t="s">
        <v>64</v>
      </c>
      <c r="I407">
        <v>8337</v>
      </c>
      <c r="J407">
        <v>7</v>
      </c>
      <c r="K407">
        <v>4.4000000000000004</v>
      </c>
      <c r="L407">
        <v>2</v>
      </c>
      <c r="M407" t="s">
        <v>37</v>
      </c>
    </row>
    <row r="408" spans="1:13" x14ac:dyDescent="0.3">
      <c r="A408" t="s">
        <v>747</v>
      </c>
      <c r="B408" t="s">
        <v>564</v>
      </c>
      <c r="C408" t="s">
        <v>170</v>
      </c>
      <c r="D408" t="s">
        <v>165</v>
      </c>
      <c r="E408" t="s">
        <v>35</v>
      </c>
      <c r="F408" t="s">
        <v>60</v>
      </c>
      <c r="G408" t="s">
        <v>54</v>
      </c>
      <c r="H408" t="s">
        <v>36</v>
      </c>
      <c r="I408">
        <v>445504</v>
      </c>
      <c r="J408">
        <v>8</v>
      </c>
      <c r="K408">
        <v>3.4</v>
      </c>
      <c r="L408">
        <v>7</v>
      </c>
      <c r="M408" t="s">
        <v>87</v>
      </c>
    </row>
    <row r="409" spans="1:13" x14ac:dyDescent="0.3">
      <c r="A409" t="s">
        <v>748</v>
      </c>
      <c r="B409" t="s">
        <v>640</v>
      </c>
      <c r="C409" t="s">
        <v>179</v>
      </c>
      <c r="D409" t="s">
        <v>63</v>
      </c>
      <c r="E409" t="s">
        <v>52</v>
      </c>
      <c r="F409" t="s">
        <v>83</v>
      </c>
      <c r="G409" t="s">
        <v>104</v>
      </c>
      <c r="H409" t="s">
        <v>29</v>
      </c>
      <c r="I409">
        <v>861</v>
      </c>
      <c r="J409">
        <v>1</v>
      </c>
      <c r="K409">
        <v>3.9</v>
      </c>
      <c r="L409">
        <v>8</v>
      </c>
      <c r="M409" t="s">
        <v>30</v>
      </c>
    </row>
    <row r="410" spans="1:13" x14ac:dyDescent="0.3">
      <c r="A410" t="s">
        <v>749</v>
      </c>
      <c r="B410" t="s">
        <v>391</v>
      </c>
      <c r="C410" t="s">
        <v>33</v>
      </c>
      <c r="D410" t="s">
        <v>59</v>
      </c>
      <c r="E410" t="s">
        <v>26</v>
      </c>
      <c r="F410" t="s">
        <v>53</v>
      </c>
      <c r="G410" t="s">
        <v>54</v>
      </c>
      <c r="H410" t="s">
        <v>36</v>
      </c>
      <c r="I410">
        <v>44532</v>
      </c>
      <c r="J410">
        <v>6</v>
      </c>
      <c r="K410">
        <v>4.7</v>
      </c>
      <c r="L410">
        <v>5</v>
      </c>
      <c r="M410" t="s">
        <v>47</v>
      </c>
    </row>
    <row r="411" spans="1:13" x14ac:dyDescent="0.3">
      <c r="A411" t="s">
        <v>750</v>
      </c>
      <c r="B411" t="s">
        <v>675</v>
      </c>
      <c r="C411" t="s">
        <v>50</v>
      </c>
      <c r="D411" t="s">
        <v>59</v>
      </c>
      <c r="E411" t="s">
        <v>26</v>
      </c>
      <c r="F411" t="s">
        <v>60</v>
      </c>
      <c r="G411" t="s">
        <v>28</v>
      </c>
      <c r="H411" t="s">
        <v>20</v>
      </c>
      <c r="I411">
        <v>36295</v>
      </c>
      <c r="J411">
        <v>5</v>
      </c>
      <c r="K411">
        <v>4.3</v>
      </c>
      <c r="L411">
        <v>7</v>
      </c>
      <c r="M411" t="s">
        <v>87</v>
      </c>
    </row>
    <row r="412" spans="1:13" x14ac:dyDescent="0.3">
      <c r="A412" t="s">
        <v>751</v>
      </c>
      <c r="B412" t="s">
        <v>752</v>
      </c>
      <c r="C412" t="s">
        <v>72</v>
      </c>
      <c r="D412" t="s">
        <v>51</v>
      </c>
      <c r="E412" t="s">
        <v>52</v>
      </c>
      <c r="F412" t="s">
        <v>18</v>
      </c>
      <c r="G412" t="s">
        <v>54</v>
      </c>
      <c r="H412" t="s">
        <v>36</v>
      </c>
      <c r="I412">
        <v>7300</v>
      </c>
      <c r="J412">
        <v>4</v>
      </c>
      <c r="K412">
        <v>3.7</v>
      </c>
      <c r="L412">
        <v>3</v>
      </c>
      <c r="M412" t="s">
        <v>80</v>
      </c>
    </row>
    <row r="413" spans="1:13" x14ac:dyDescent="0.3">
      <c r="A413" t="s">
        <v>753</v>
      </c>
      <c r="B413" t="s">
        <v>275</v>
      </c>
      <c r="C413" t="s">
        <v>45</v>
      </c>
      <c r="D413" t="s">
        <v>51</v>
      </c>
      <c r="E413" t="s">
        <v>52</v>
      </c>
      <c r="F413" t="s">
        <v>83</v>
      </c>
      <c r="G413" t="s">
        <v>28</v>
      </c>
      <c r="H413" t="s">
        <v>64</v>
      </c>
      <c r="I413">
        <v>4172</v>
      </c>
      <c r="J413">
        <v>7</v>
      </c>
      <c r="K413">
        <v>4.7</v>
      </c>
      <c r="L413">
        <v>7</v>
      </c>
      <c r="M413" t="s">
        <v>119</v>
      </c>
    </row>
    <row r="414" spans="1:13" x14ac:dyDescent="0.3">
      <c r="A414" t="s">
        <v>754</v>
      </c>
      <c r="B414" t="s">
        <v>352</v>
      </c>
      <c r="C414" t="s">
        <v>112</v>
      </c>
      <c r="D414" t="s">
        <v>69</v>
      </c>
      <c r="E414" t="s">
        <v>26</v>
      </c>
      <c r="F414" t="s">
        <v>53</v>
      </c>
      <c r="G414" t="s">
        <v>28</v>
      </c>
      <c r="H414" t="s">
        <v>29</v>
      </c>
      <c r="I414">
        <v>5526</v>
      </c>
      <c r="J414">
        <v>6</v>
      </c>
      <c r="K414">
        <v>4.2</v>
      </c>
      <c r="L414">
        <v>4</v>
      </c>
      <c r="M414" t="s">
        <v>55</v>
      </c>
    </row>
    <row r="415" spans="1:13" x14ac:dyDescent="0.3">
      <c r="A415" t="s">
        <v>755</v>
      </c>
      <c r="B415" t="s">
        <v>756</v>
      </c>
      <c r="C415" t="s">
        <v>72</v>
      </c>
      <c r="D415" t="s">
        <v>16</v>
      </c>
      <c r="E415" t="s">
        <v>17</v>
      </c>
      <c r="F415" t="s">
        <v>27</v>
      </c>
      <c r="G415" t="s">
        <v>104</v>
      </c>
      <c r="H415" t="s">
        <v>64</v>
      </c>
      <c r="I415">
        <v>13944</v>
      </c>
      <c r="J415">
        <v>8</v>
      </c>
      <c r="K415">
        <v>4.9000000000000004</v>
      </c>
      <c r="L415">
        <v>2</v>
      </c>
      <c r="M415" t="s">
        <v>30</v>
      </c>
    </row>
    <row r="416" spans="1:13" x14ac:dyDescent="0.3">
      <c r="A416" t="s">
        <v>757</v>
      </c>
      <c r="B416" t="s">
        <v>169</v>
      </c>
      <c r="C416" t="s">
        <v>45</v>
      </c>
      <c r="D416" t="s">
        <v>25</v>
      </c>
      <c r="E416" t="s">
        <v>26</v>
      </c>
      <c r="F416" t="s">
        <v>18</v>
      </c>
      <c r="G416" t="s">
        <v>104</v>
      </c>
      <c r="H416" t="s">
        <v>36</v>
      </c>
      <c r="I416">
        <v>19268</v>
      </c>
      <c r="J416">
        <v>2</v>
      </c>
      <c r="K416">
        <v>4.5999999999999996</v>
      </c>
      <c r="L416">
        <v>5</v>
      </c>
      <c r="M416" t="s">
        <v>65</v>
      </c>
    </row>
    <row r="417" spans="1:13" x14ac:dyDescent="0.3">
      <c r="A417" t="s">
        <v>758</v>
      </c>
      <c r="B417" t="s">
        <v>525</v>
      </c>
      <c r="C417" t="s">
        <v>45</v>
      </c>
      <c r="D417" t="s">
        <v>90</v>
      </c>
      <c r="E417" t="s">
        <v>42</v>
      </c>
      <c r="F417" t="s">
        <v>27</v>
      </c>
      <c r="G417" t="s">
        <v>104</v>
      </c>
      <c r="H417" t="s">
        <v>29</v>
      </c>
      <c r="I417">
        <v>28728</v>
      </c>
      <c r="J417">
        <v>8</v>
      </c>
      <c r="K417">
        <v>3.7</v>
      </c>
      <c r="L417">
        <v>1</v>
      </c>
      <c r="M417" t="s">
        <v>65</v>
      </c>
    </row>
    <row r="418" spans="1:13" x14ac:dyDescent="0.3">
      <c r="A418" t="s">
        <v>759</v>
      </c>
      <c r="B418" t="s">
        <v>760</v>
      </c>
      <c r="C418" t="s">
        <v>72</v>
      </c>
      <c r="D418" t="s">
        <v>116</v>
      </c>
      <c r="E418" t="s">
        <v>17</v>
      </c>
      <c r="F418" t="s">
        <v>100</v>
      </c>
      <c r="G418" t="s">
        <v>54</v>
      </c>
      <c r="H418" t="s">
        <v>29</v>
      </c>
      <c r="I418">
        <v>4419</v>
      </c>
      <c r="J418">
        <v>3</v>
      </c>
      <c r="K418">
        <v>3.7</v>
      </c>
      <c r="L418">
        <v>2</v>
      </c>
      <c r="M418" t="s">
        <v>30</v>
      </c>
    </row>
    <row r="419" spans="1:13" x14ac:dyDescent="0.3">
      <c r="A419" t="s">
        <v>761</v>
      </c>
      <c r="B419" t="s">
        <v>595</v>
      </c>
      <c r="C419" t="s">
        <v>146</v>
      </c>
      <c r="D419" t="s">
        <v>34</v>
      </c>
      <c r="E419" t="s">
        <v>35</v>
      </c>
      <c r="F419" t="s">
        <v>53</v>
      </c>
      <c r="G419" t="s">
        <v>19</v>
      </c>
      <c r="H419" t="s">
        <v>29</v>
      </c>
      <c r="I419">
        <v>21805</v>
      </c>
      <c r="J419">
        <v>5</v>
      </c>
      <c r="K419">
        <v>3.5</v>
      </c>
      <c r="L419">
        <v>3</v>
      </c>
      <c r="M419" t="s">
        <v>192</v>
      </c>
    </row>
    <row r="420" spans="1:13" x14ac:dyDescent="0.3">
      <c r="A420" t="s">
        <v>762</v>
      </c>
      <c r="B420" t="s">
        <v>763</v>
      </c>
      <c r="C420" t="s">
        <v>50</v>
      </c>
      <c r="D420" t="s">
        <v>51</v>
      </c>
      <c r="E420" t="s">
        <v>52</v>
      </c>
      <c r="F420" t="s">
        <v>83</v>
      </c>
      <c r="G420" t="s">
        <v>28</v>
      </c>
      <c r="H420" t="s">
        <v>20</v>
      </c>
      <c r="I420">
        <v>595</v>
      </c>
      <c r="J420">
        <v>1</v>
      </c>
      <c r="K420">
        <v>4.7</v>
      </c>
      <c r="L420">
        <v>7</v>
      </c>
      <c r="M420" t="s">
        <v>37</v>
      </c>
    </row>
    <row r="421" spans="1:13" x14ac:dyDescent="0.3">
      <c r="A421" t="s">
        <v>764</v>
      </c>
      <c r="B421" t="s">
        <v>697</v>
      </c>
      <c r="C421" t="s">
        <v>78</v>
      </c>
      <c r="D421" t="s">
        <v>109</v>
      </c>
      <c r="E421" t="s">
        <v>52</v>
      </c>
      <c r="F421" t="s">
        <v>83</v>
      </c>
      <c r="G421" t="s">
        <v>28</v>
      </c>
      <c r="H421" t="s">
        <v>64</v>
      </c>
      <c r="I421">
        <v>2325</v>
      </c>
      <c r="J421">
        <v>5</v>
      </c>
      <c r="K421">
        <v>4.0999999999999996</v>
      </c>
      <c r="L421">
        <v>8</v>
      </c>
      <c r="M421" t="s">
        <v>144</v>
      </c>
    </row>
    <row r="422" spans="1:13" x14ac:dyDescent="0.3">
      <c r="A422" t="s">
        <v>765</v>
      </c>
      <c r="B422" t="s">
        <v>404</v>
      </c>
      <c r="C422" t="s">
        <v>68</v>
      </c>
      <c r="D422" t="s">
        <v>46</v>
      </c>
      <c r="E422" t="s">
        <v>42</v>
      </c>
      <c r="F422" t="s">
        <v>100</v>
      </c>
      <c r="G422" t="s">
        <v>104</v>
      </c>
      <c r="H422" t="s">
        <v>64</v>
      </c>
      <c r="I422">
        <v>26803</v>
      </c>
      <c r="J422">
        <v>7</v>
      </c>
      <c r="K422">
        <v>3.8</v>
      </c>
      <c r="L422">
        <v>1</v>
      </c>
      <c r="M422" t="s">
        <v>80</v>
      </c>
    </row>
    <row r="423" spans="1:13" x14ac:dyDescent="0.3">
      <c r="A423" t="s">
        <v>766</v>
      </c>
      <c r="B423" t="s">
        <v>462</v>
      </c>
      <c r="C423" t="s">
        <v>58</v>
      </c>
      <c r="D423" t="s">
        <v>59</v>
      </c>
      <c r="E423" t="s">
        <v>26</v>
      </c>
      <c r="F423" t="s">
        <v>83</v>
      </c>
      <c r="G423" t="s">
        <v>104</v>
      </c>
      <c r="H423" t="s">
        <v>20</v>
      </c>
      <c r="I423">
        <v>36040</v>
      </c>
      <c r="J423">
        <v>5</v>
      </c>
      <c r="K423">
        <v>4</v>
      </c>
      <c r="L423">
        <v>4</v>
      </c>
      <c r="M423" t="s">
        <v>126</v>
      </c>
    </row>
    <row r="424" spans="1:13" x14ac:dyDescent="0.3">
      <c r="A424" t="s">
        <v>767</v>
      </c>
      <c r="B424" t="s">
        <v>605</v>
      </c>
      <c r="C424" t="s">
        <v>129</v>
      </c>
      <c r="D424" t="s">
        <v>165</v>
      </c>
      <c r="E424" t="s">
        <v>35</v>
      </c>
      <c r="F424" t="s">
        <v>83</v>
      </c>
      <c r="G424" t="s">
        <v>104</v>
      </c>
      <c r="H424" t="s">
        <v>29</v>
      </c>
      <c r="I424">
        <v>56403</v>
      </c>
      <c r="J424">
        <v>1</v>
      </c>
      <c r="K424">
        <v>3.4</v>
      </c>
      <c r="L424">
        <v>8</v>
      </c>
      <c r="M424" t="s">
        <v>144</v>
      </c>
    </row>
    <row r="425" spans="1:13" x14ac:dyDescent="0.3">
      <c r="A425" t="s">
        <v>768</v>
      </c>
      <c r="B425" t="s">
        <v>143</v>
      </c>
      <c r="C425" t="s">
        <v>75</v>
      </c>
      <c r="D425" t="s">
        <v>147</v>
      </c>
      <c r="E425" t="s">
        <v>52</v>
      </c>
      <c r="F425" t="s">
        <v>100</v>
      </c>
      <c r="G425" t="s">
        <v>19</v>
      </c>
      <c r="H425" t="s">
        <v>64</v>
      </c>
      <c r="I425">
        <v>2276</v>
      </c>
      <c r="J425">
        <v>2</v>
      </c>
      <c r="K425">
        <v>4.5</v>
      </c>
      <c r="L425">
        <v>2</v>
      </c>
      <c r="M425" t="s">
        <v>144</v>
      </c>
    </row>
    <row r="426" spans="1:13" x14ac:dyDescent="0.3">
      <c r="A426" t="s">
        <v>769</v>
      </c>
      <c r="B426" t="s">
        <v>675</v>
      </c>
      <c r="C426" t="s">
        <v>133</v>
      </c>
      <c r="D426" t="s">
        <v>79</v>
      </c>
      <c r="E426" t="s">
        <v>26</v>
      </c>
      <c r="F426" t="s">
        <v>27</v>
      </c>
      <c r="G426" t="s">
        <v>104</v>
      </c>
      <c r="H426" t="s">
        <v>29</v>
      </c>
      <c r="I426">
        <v>33795</v>
      </c>
      <c r="J426">
        <v>3</v>
      </c>
      <c r="K426">
        <v>4</v>
      </c>
      <c r="L426">
        <v>5</v>
      </c>
      <c r="M426" t="s">
        <v>87</v>
      </c>
    </row>
    <row r="427" spans="1:13" x14ac:dyDescent="0.3">
      <c r="A427" t="s">
        <v>770</v>
      </c>
      <c r="B427" t="s">
        <v>115</v>
      </c>
      <c r="C427" t="s">
        <v>24</v>
      </c>
      <c r="D427" t="s">
        <v>147</v>
      </c>
      <c r="E427" t="s">
        <v>52</v>
      </c>
      <c r="F427" t="s">
        <v>60</v>
      </c>
      <c r="G427" t="s">
        <v>54</v>
      </c>
      <c r="H427" t="s">
        <v>64</v>
      </c>
      <c r="I427">
        <v>1841</v>
      </c>
      <c r="J427">
        <v>1</v>
      </c>
      <c r="K427">
        <v>4.9000000000000004</v>
      </c>
      <c r="L427">
        <v>5</v>
      </c>
      <c r="M427" t="s">
        <v>21</v>
      </c>
    </row>
    <row r="428" spans="1:13" x14ac:dyDescent="0.3">
      <c r="A428" t="s">
        <v>771</v>
      </c>
      <c r="B428" t="s">
        <v>393</v>
      </c>
      <c r="C428" t="s">
        <v>146</v>
      </c>
      <c r="D428" t="s">
        <v>51</v>
      </c>
      <c r="E428" t="s">
        <v>52</v>
      </c>
      <c r="F428" t="s">
        <v>27</v>
      </c>
      <c r="G428" t="s">
        <v>104</v>
      </c>
      <c r="H428" t="s">
        <v>36</v>
      </c>
      <c r="I428">
        <v>6712</v>
      </c>
      <c r="J428">
        <v>8</v>
      </c>
      <c r="K428">
        <v>4.3</v>
      </c>
      <c r="L428">
        <v>2</v>
      </c>
      <c r="M428" t="s">
        <v>37</v>
      </c>
    </row>
    <row r="429" spans="1:13" x14ac:dyDescent="0.3">
      <c r="A429" t="s">
        <v>772</v>
      </c>
      <c r="B429" t="s">
        <v>589</v>
      </c>
      <c r="C429" t="s">
        <v>50</v>
      </c>
      <c r="D429" t="s">
        <v>16</v>
      </c>
      <c r="E429" t="s">
        <v>17</v>
      </c>
      <c r="F429" t="s">
        <v>53</v>
      </c>
      <c r="G429" t="s">
        <v>19</v>
      </c>
      <c r="H429" t="s">
        <v>29</v>
      </c>
      <c r="I429">
        <v>6065</v>
      </c>
      <c r="J429">
        <v>5</v>
      </c>
      <c r="K429">
        <v>4.4000000000000004</v>
      </c>
      <c r="L429">
        <v>1</v>
      </c>
      <c r="M429" t="s">
        <v>87</v>
      </c>
    </row>
    <row r="430" spans="1:13" x14ac:dyDescent="0.3">
      <c r="A430" t="s">
        <v>773</v>
      </c>
      <c r="B430" t="s">
        <v>326</v>
      </c>
      <c r="C430" t="s">
        <v>125</v>
      </c>
      <c r="D430" t="s">
        <v>41</v>
      </c>
      <c r="E430" t="s">
        <v>42</v>
      </c>
      <c r="F430" t="s">
        <v>18</v>
      </c>
      <c r="G430" t="s">
        <v>104</v>
      </c>
      <c r="H430" t="s">
        <v>29</v>
      </c>
      <c r="I430">
        <v>10192</v>
      </c>
      <c r="J430">
        <v>8</v>
      </c>
      <c r="K430">
        <v>3.6</v>
      </c>
      <c r="L430">
        <v>7</v>
      </c>
      <c r="M430" t="s">
        <v>65</v>
      </c>
    </row>
    <row r="431" spans="1:13" x14ac:dyDescent="0.3">
      <c r="A431" t="s">
        <v>774</v>
      </c>
      <c r="B431" t="s">
        <v>217</v>
      </c>
      <c r="C431" t="s">
        <v>179</v>
      </c>
      <c r="D431" t="s">
        <v>97</v>
      </c>
      <c r="E431" t="s">
        <v>35</v>
      </c>
      <c r="F431" t="s">
        <v>83</v>
      </c>
      <c r="G431" t="s">
        <v>54</v>
      </c>
      <c r="H431" t="s">
        <v>64</v>
      </c>
      <c r="I431">
        <v>94144</v>
      </c>
      <c r="J431">
        <v>2</v>
      </c>
      <c r="K431">
        <v>4.5999999999999996</v>
      </c>
      <c r="L431">
        <v>5</v>
      </c>
      <c r="M431" t="s">
        <v>144</v>
      </c>
    </row>
    <row r="432" spans="1:13" x14ac:dyDescent="0.3">
      <c r="A432" t="s">
        <v>775</v>
      </c>
      <c r="B432" t="s">
        <v>298</v>
      </c>
      <c r="C432" t="s">
        <v>72</v>
      </c>
      <c r="D432" t="s">
        <v>109</v>
      </c>
      <c r="E432" t="s">
        <v>52</v>
      </c>
      <c r="F432" t="s">
        <v>18</v>
      </c>
      <c r="G432" t="s">
        <v>19</v>
      </c>
      <c r="H432" t="s">
        <v>36</v>
      </c>
      <c r="I432">
        <v>12047</v>
      </c>
      <c r="J432">
        <v>7</v>
      </c>
      <c r="K432">
        <v>4</v>
      </c>
      <c r="L432">
        <v>4</v>
      </c>
      <c r="M432" t="s">
        <v>119</v>
      </c>
    </row>
    <row r="433" spans="1:13" x14ac:dyDescent="0.3">
      <c r="A433" t="s">
        <v>776</v>
      </c>
      <c r="B433" t="s">
        <v>74</v>
      </c>
      <c r="C433" t="s">
        <v>15</v>
      </c>
      <c r="D433" t="s">
        <v>79</v>
      </c>
      <c r="E433" t="s">
        <v>26</v>
      </c>
      <c r="F433" t="s">
        <v>18</v>
      </c>
      <c r="G433" t="s">
        <v>104</v>
      </c>
      <c r="H433" t="s">
        <v>36</v>
      </c>
      <c r="I433">
        <v>66836</v>
      </c>
      <c r="J433">
        <v>7</v>
      </c>
      <c r="K433">
        <v>4.9000000000000004</v>
      </c>
      <c r="L433">
        <v>8</v>
      </c>
      <c r="M433" t="s">
        <v>65</v>
      </c>
    </row>
    <row r="434" spans="1:13" x14ac:dyDescent="0.3">
      <c r="A434" t="s">
        <v>777</v>
      </c>
      <c r="B434" t="s">
        <v>176</v>
      </c>
      <c r="C434" t="s">
        <v>75</v>
      </c>
      <c r="D434" t="s">
        <v>113</v>
      </c>
      <c r="E434" t="s">
        <v>35</v>
      </c>
      <c r="F434" t="s">
        <v>18</v>
      </c>
      <c r="G434" t="s">
        <v>19</v>
      </c>
      <c r="H434" t="s">
        <v>64</v>
      </c>
      <c r="I434">
        <v>125158</v>
      </c>
      <c r="J434">
        <v>2</v>
      </c>
      <c r="K434">
        <v>4.5</v>
      </c>
      <c r="L434">
        <v>4</v>
      </c>
      <c r="M434" t="s">
        <v>55</v>
      </c>
    </row>
    <row r="435" spans="1:13" x14ac:dyDescent="0.3">
      <c r="A435" t="s">
        <v>778</v>
      </c>
      <c r="B435" t="s">
        <v>215</v>
      </c>
      <c r="C435" t="s">
        <v>68</v>
      </c>
      <c r="D435" t="s">
        <v>116</v>
      </c>
      <c r="E435" t="s">
        <v>17</v>
      </c>
      <c r="F435" t="s">
        <v>60</v>
      </c>
      <c r="G435" t="s">
        <v>19</v>
      </c>
      <c r="H435" t="s">
        <v>36</v>
      </c>
      <c r="I435">
        <v>797</v>
      </c>
      <c r="J435">
        <v>1</v>
      </c>
      <c r="K435">
        <v>3.3</v>
      </c>
      <c r="L435">
        <v>5</v>
      </c>
      <c r="M435" t="s">
        <v>192</v>
      </c>
    </row>
    <row r="436" spans="1:13" x14ac:dyDescent="0.3">
      <c r="A436" t="s">
        <v>779</v>
      </c>
      <c r="B436" t="s">
        <v>220</v>
      </c>
      <c r="C436" t="s">
        <v>58</v>
      </c>
      <c r="D436" t="s">
        <v>16</v>
      </c>
      <c r="E436" t="s">
        <v>17</v>
      </c>
      <c r="F436" t="s">
        <v>100</v>
      </c>
      <c r="G436" t="s">
        <v>19</v>
      </c>
      <c r="H436" t="s">
        <v>29</v>
      </c>
      <c r="I436">
        <v>1716</v>
      </c>
      <c r="J436">
        <v>4</v>
      </c>
      <c r="K436">
        <v>3.9</v>
      </c>
      <c r="L436">
        <v>2</v>
      </c>
      <c r="M436" t="s">
        <v>65</v>
      </c>
    </row>
    <row r="437" spans="1:13" x14ac:dyDescent="0.3">
      <c r="A437" t="s">
        <v>780</v>
      </c>
      <c r="B437" t="s">
        <v>489</v>
      </c>
      <c r="C437" t="s">
        <v>129</v>
      </c>
      <c r="D437" t="s">
        <v>147</v>
      </c>
      <c r="E437" t="s">
        <v>52</v>
      </c>
      <c r="F437" t="s">
        <v>100</v>
      </c>
      <c r="G437" t="s">
        <v>19</v>
      </c>
      <c r="H437" t="s">
        <v>64</v>
      </c>
      <c r="I437">
        <v>1524</v>
      </c>
      <c r="J437">
        <v>3</v>
      </c>
      <c r="K437">
        <v>4.5999999999999996</v>
      </c>
      <c r="L437">
        <v>3</v>
      </c>
      <c r="M437" t="s">
        <v>30</v>
      </c>
    </row>
    <row r="438" spans="1:13" x14ac:dyDescent="0.3">
      <c r="A438" t="s">
        <v>781</v>
      </c>
      <c r="B438" t="s">
        <v>670</v>
      </c>
      <c r="C438" t="s">
        <v>24</v>
      </c>
      <c r="D438" t="s">
        <v>147</v>
      </c>
      <c r="E438" t="s">
        <v>52</v>
      </c>
      <c r="F438" t="s">
        <v>18</v>
      </c>
      <c r="G438" t="s">
        <v>104</v>
      </c>
      <c r="H438" t="s">
        <v>64</v>
      </c>
      <c r="I438">
        <v>3580</v>
      </c>
      <c r="J438">
        <v>2</v>
      </c>
      <c r="K438">
        <v>3.3</v>
      </c>
      <c r="L438">
        <v>1</v>
      </c>
      <c r="M438" t="s">
        <v>80</v>
      </c>
    </row>
    <row r="439" spans="1:13" x14ac:dyDescent="0.3">
      <c r="A439" t="s">
        <v>782</v>
      </c>
      <c r="B439" t="s">
        <v>635</v>
      </c>
      <c r="C439" t="s">
        <v>45</v>
      </c>
      <c r="D439" t="s">
        <v>159</v>
      </c>
      <c r="E439" t="s">
        <v>42</v>
      </c>
      <c r="F439" t="s">
        <v>27</v>
      </c>
      <c r="G439" t="s">
        <v>54</v>
      </c>
      <c r="H439" t="s">
        <v>20</v>
      </c>
      <c r="I439">
        <v>13167</v>
      </c>
      <c r="J439">
        <v>3</v>
      </c>
      <c r="K439">
        <v>3.6</v>
      </c>
      <c r="L439">
        <v>3</v>
      </c>
      <c r="M439" t="s">
        <v>37</v>
      </c>
    </row>
    <row r="440" spans="1:13" x14ac:dyDescent="0.3">
      <c r="A440" t="s">
        <v>783</v>
      </c>
      <c r="B440" t="s">
        <v>784</v>
      </c>
      <c r="C440" t="s">
        <v>45</v>
      </c>
      <c r="D440" t="s">
        <v>41</v>
      </c>
      <c r="E440" t="s">
        <v>42</v>
      </c>
      <c r="F440" t="s">
        <v>53</v>
      </c>
      <c r="G440" t="s">
        <v>19</v>
      </c>
      <c r="H440" t="s">
        <v>64</v>
      </c>
      <c r="I440">
        <v>26340</v>
      </c>
      <c r="J440">
        <v>5</v>
      </c>
      <c r="K440">
        <v>3.5</v>
      </c>
      <c r="L440">
        <v>2</v>
      </c>
      <c r="M440" t="s">
        <v>192</v>
      </c>
    </row>
    <row r="441" spans="1:13" x14ac:dyDescent="0.3">
      <c r="A441" t="s">
        <v>785</v>
      </c>
      <c r="B441" t="s">
        <v>697</v>
      </c>
      <c r="C441" t="s">
        <v>33</v>
      </c>
      <c r="D441" t="s">
        <v>109</v>
      </c>
      <c r="E441" t="s">
        <v>52</v>
      </c>
      <c r="F441" t="s">
        <v>27</v>
      </c>
      <c r="G441" t="s">
        <v>104</v>
      </c>
      <c r="H441" t="s">
        <v>29</v>
      </c>
      <c r="I441">
        <v>3444</v>
      </c>
      <c r="J441">
        <v>4</v>
      </c>
      <c r="K441">
        <v>3.5</v>
      </c>
      <c r="L441">
        <v>1</v>
      </c>
      <c r="M441" t="s">
        <v>144</v>
      </c>
    </row>
    <row r="442" spans="1:13" x14ac:dyDescent="0.3">
      <c r="A442" t="s">
        <v>786</v>
      </c>
      <c r="B442" t="s">
        <v>195</v>
      </c>
      <c r="C442" t="s">
        <v>24</v>
      </c>
      <c r="D442" t="s">
        <v>51</v>
      </c>
      <c r="E442" t="s">
        <v>52</v>
      </c>
      <c r="F442" t="s">
        <v>18</v>
      </c>
      <c r="G442" t="s">
        <v>28</v>
      </c>
      <c r="H442" t="s">
        <v>36</v>
      </c>
      <c r="I442">
        <v>12636</v>
      </c>
      <c r="J442">
        <v>6</v>
      </c>
      <c r="K442">
        <v>4.9000000000000004</v>
      </c>
      <c r="L442">
        <v>3</v>
      </c>
      <c r="M442" t="s">
        <v>21</v>
      </c>
    </row>
    <row r="443" spans="1:13" x14ac:dyDescent="0.3">
      <c r="A443" t="s">
        <v>787</v>
      </c>
      <c r="B443" t="s">
        <v>313</v>
      </c>
      <c r="C443" t="s">
        <v>122</v>
      </c>
      <c r="D443" t="s">
        <v>86</v>
      </c>
      <c r="E443" t="s">
        <v>17</v>
      </c>
      <c r="F443" t="s">
        <v>27</v>
      </c>
      <c r="G443" t="s">
        <v>28</v>
      </c>
      <c r="H443" t="s">
        <v>20</v>
      </c>
      <c r="I443">
        <v>6948</v>
      </c>
      <c r="J443">
        <v>6</v>
      </c>
      <c r="K443">
        <v>3.8</v>
      </c>
      <c r="L443">
        <v>2</v>
      </c>
      <c r="M443" t="s">
        <v>47</v>
      </c>
    </row>
    <row r="444" spans="1:13" x14ac:dyDescent="0.3">
      <c r="A444" t="s">
        <v>788</v>
      </c>
      <c r="B444" t="s">
        <v>185</v>
      </c>
      <c r="C444" t="s">
        <v>24</v>
      </c>
      <c r="D444" t="s">
        <v>159</v>
      </c>
      <c r="E444" t="s">
        <v>42</v>
      </c>
      <c r="F444" t="s">
        <v>60</v>
      </c>
      <c r="G444" t="s">
        <v>104</v>
      </c>
      <c r="H444" t="s">
        <v>20</v>
      </c>
      <c r="I444">
        <v>34160</v>
      </c>
      <c r="J444">
        <v>8</v>
      </c>
      <c r="K444">
        <v>3.6</v>
      </c>
      <c r="L444">
        <v>8</v>
      </c>
      <c r="M444" t="s">
        <v>87</v>
      </c>
    </row>
    <row r="445" spans="1:13" x14ac:dyDescent="0.3">
      <c r="A445" t="s">
        <v>789</v>
      </c>
      <c r="B445" t="s">
        <v>790</v>
      </c>
      <c r="C445" t="s">
        <v>103</v>
      </c>
      <c r="D445" t="s">
        <v>159</v>
      </c>
      <c r="E445" t="s">
        <v>42</v>
      </c>
      <c r="F445" t="s">
        <v>83</v>
      </c>
      <c r="G445" t="s">
        <v>54</v>
      </c>
      <c r="H445" t="s">
        <v>64</v>
      </c>
      <c r="I445">
        <v>10452</v>
      </c>
      <c r="J445">
        <v>6</v>
      </c>
      <c r="K445">
        <v>4.4000000000000004</v>
      </c>
      <c r="L445">
        <v>1</v>
      </c>
      <c r="M445" t="s">
        <v>192</v>
      </c>
    </row>
    <row r="446" spans="1:13" x14ac:dyDescent="0.3">
      <c r="A446" t="s">
        <v>791</v>
      </c>
      <c r="B446" t="s">
        <v>336</v>
      </c>
      <c r="C446" t="s">
        <v>58</v>
      </c>
      <c r="D446" t="s">
        <v>90</v>
      </c>
      <c r="E446" t="s">
        <v>42</v>
      </c>
      <c r="F446" t="s">
        <v>100</v>
      </c>
      <c r="G446" t="s">
        <v>19</v>
      </c>
      <c r="H446" t="s">
        <v>36</v>
      </c>
      <c r="I446">
        <v>11904</v>
      </c>
      <c r="J446">
        <v>6</v>
      </c>
      <c r="K446">
        <v>4.9000000000000004</v>
      </c>
      <c r="L446">
        <v>3</v>
      </c>
      <c r="M446" t="s">
        <v>80</v>
      </c>
    </row>
    <row r="447" spans="1:13" x14ac:dyDescent="0.3">
      <c r="A447" t="s">
        <v>792</v>
      </c>
      <c r="B447" t="s">
        <v>32</v>
      </c>
      <c r="C447" t="s">
        <v>58</v>
      </c>
      <c r="D447" t="s">
        <v>90</v>
      </c>
      <c r="E447" t="s">
        <v>42</v>
      </c>
      <c r="F447" t="s">
        <v>83</v>
      </c>
      <c r="G447" t="s">
        <v>19</v>
      </c>
      <c r="H447" t="s">
        <v>36</v>
      </c>
      <c r="I447">
        <v>33656</v>
      </c>
      <c r="J447">
        <v>8</v>
      </c>
      <c r="K447">
        <v>3.6</v>
      </c>
      <c r="L447">
        <v>7</v>
      </c>
      <c r="M447" t="s">
        <v>37</v>
      </c>
    </row>
    <row r="448" spans="1:13" x14ac:dyDescent="0.3">
      <c r="A448" t="s">
        <v>793</v>
      </c>
      <c r="B448" t="s">
        <v>583</v>
      </c>
      <c r="C448" t="s">
        <v>146</v>
      </c>
      <c r="D448" t="s">
        <v>41</v>
      </c>
      <c r="E448" t="s">
        <v>42</v>
      </c>
      <c r="F448" t="s">
        <v>60</v>
      </c>
      <c r="G448" t="s">
        <v>19</v>
      </c>
      <c r="H448" t="s">
        <v>36</v>
      </c>
      <c r="I448">
        <v>40400</v>
      </c>
      <c r="J448">
        <v>8</v>
      </c>
      <c r="K448">
        <v>4.0999999999999996</v>
      </c>
      <c r="L448">
        <v>2</v>
      </c>
      <c r="M448" t="s">
        <v>144</v>
      </c>
    </row>
    <row r="449" spans="1:13" x14ac:dyDescent="0.3">
      <c r="A449" t="s">
        <v>794</v>
      </c>
      <c r="B449" t="s">
        <v>411</v>
      </c>
      <c r="C449" t="s">
        <v>15</v>
      </c>
      <c r="D449" t="s">
        <v>25</v>
      </c>
      <c r="E449" t="s">
        <v>26</v>
      </c>
      <c r="F449" t="s">
        <v>60</v>
      </c>
      <c r="G449" t="s">
        <v>104</v>
      </c>
      <c r="H449" t="s">
        <v>20</v>
      </c>
      <c r="I449">
        <v>33012</v>
      </c>
      <c r="J449">
        <v>7</v>
      </c>
      <c r="K449">
        <v>4.4000000000000004</v>
      </c>
      <c r="L449">
        <v>2</v>
      </c>
      <c r="M449" t="s">
        <v>119</v>
      </c>
    </row>
    <row r="450" spans="1:13" x14ac:dyDescent="0.3">
      <c r="A450" t="s">
        <v>795</v>
      </c>
      <c r="B450" t="s">
        <v>44</v>
      </c>
      <c r="C450" t="s">
        <v>75</v>
      </c>
      <c r="D450" t="s">
        <v>41</v>
      </c>
      <c r="E450" t="s">
        <v>42</v>
      </c>
      <c r="F450" t="s">
        <v>60</v>
      </c>
      <c r="G450" t="s">
        <v>104</v>
      </c>
      <c r="H450" t="s">
        <v>36</v>
      </c>
      <c r="I450">
        <v>29872</v>
      </c>
      <c r="J450">
        <v>8</v>
      </c>
      <c r="K450">
        <v>4</v>
      </c>
      <c r="L450">
        <v>1</v>
      </c>
      <c r="M450" t="s">
        <v>47</v>
      </c>
    </row>
    <row r="451" spans="1:13" x14ac:dyDescent="0.3">
      <c r="A451" t="s">
        <v>796</v>
      </c>
      <c r="B451" t="s">
        <v>797</v>
      </c>
      <c r="C451" t="s">
        <v>33</v>
      </c>
      <c r="D451" t="s">
        <v>97</v>
      </c>
      <c r="E451" t="s">
        <v>35</v>
      </c>
      <c r="F451" t="s">
        <v>18</v>
      </c>
      <c r="G451" t="s">
        <v>28</v>
      </c>
      <c r="H451" t="s">
        <v>29</v>
      </c>
      <c r="I451">
        <v>335296</v>
      </c>
      <c r="J451">
        <v>4</v>
      </c>
      <c r="K451">
        <v>4.0999999999999996</v>
      </c>
      <c r="L451">
        <v>6</v>
      </c>
      <c r="M451" t="s">
        <v>21</v>
      </c>
    </row>
    <row r="452" spans="1:13" x14ac:dyDescent="0.3">
      <c r="A452" t="s">
        <v>798</v>
      </c>
      <c r="B452" t="s">
        <v>799</v>
      </c>
      <c r="C452" t="s">
        <v>78</v>
      </c>
      <c r="D452" t="s">
        <v>41</v>
      </c>
      <c r="E452" t="s">
        <v>42</v>
      </c>
      <c r="F452" t="s">
        <v>18</v>
      </c>
      <c r="G452" t="s">
        <v>28</v>
      </c>
      <c r="H452" t="s">
        <v>20</v>
      </c>
      <c r="I452">
        <v>14262</v>
      </c>
      <c r="J452">
        <v>6</v>
      </c>
      <c r="K452">
        <v>5</v>
      </c>
      <c r="L452">
        <v>4</v>
      </c>
      <c r="M452" t="s">
        <v>55</v>
      </c>
    </row>
    <row r="453" spans="1:13" x14ac:dyDescent="0.3">
      <c r="A453" t="s">
        <v>800</v>
      </c>
      <c r="B453" t="s">
        <v>154</v>
      </c>
      <c r="C453" t="s">
        <v>125</v>
      </c>
      <c r="D453" t="s">
        <v>109</v>
      </c>
      <c r="E453" t="s">
        <v>52</v>
      </c>
      <c r="F453" t="s">
        <v>100</v>
      </c>
      <c r="G453" t="s">
        <v>54</v>
      </c>
      <c r="H453" t="s">
        <v>64</v>
      </c>
      <c r="I453">
        <v>9910</v>
      </c>
      <c r="J453">
        <v>5</v>
      </c>
      <c r="K453">
        <v>3.9</v>
      </c>
      <c r="L453">
        <v>8</v>
      </c>
      <c r="M453" t="s">
        <v>126</v>
      </c>
    </row>
    <row r="454" spans="1:13" x14ac:dyDescent="0.3">
      <c r="A454" t="s">
        <v>801</v>
      </c>
      <c r="B454" t="s">
        <v>802</v>
      </c>
      <c r="C454" t="s">
        <v>40</v>
      </c>
      <c r="D454" t="s">
        <v>59</v>
      </c>
      <c r="E454" t="s">
        <v>26</v>
      </c>
      <c r="F454" t="s">
        <v>18</v>
      </c>
      <c r="G454" t="s">
        <v>54</v>
      </c>
      <c r="H454" t="s">
        <v>20</v>
      </c>
      <c r="I454">
        <v>13380</v>
      </c>
      <c r="J454">
        <v>6</v>
      </c>
      <c r="K454">
        <v>3.3</v>
      </c>
      <c r="L454">
        <v>3</v>
      </c>
      <c r="M454" t="s">
        <v>47</v>
      </c>
    </row>
    <row r="455" spans="1:13" x14ac:dyDescent="0.3">
      <c r="A455" t="s">
        <v>803</v>
      </c>
      <c r="B455" t="s">
        <v>298</v>
      </c>
      <c r="C455" t="s">
        <v>78</v>
      </c>
      <c r="D455" t="s">
        <v>113</v>
      </c>
      <c r="E455" t="s">
        <v>35</v>
      </c>
      <c r="F455" t="s">
        <v>83</v>
      </c>
      <c r="G455" t="s">
        <v>28</v>
      </c>
      <c r="H455" t="s">
        <v>29</v>
      </c>
      <c r="I455">
        <v>87816</v>
      </c>
      <c r="J455">
        <v>3</v>
      </c>
      <c r="K455">
        <v>3.2</v>
      </c>
      <c r="L455">
        <v>7</v>
      </c>
      <c r="M455" t="s">
        <v>119</v>
      </c>
    </row>
    <row r="456" spans="1:13" x14ac:dyDescent="0.3">
      <c r="A456" t="s">
        <v>804</v>
      </c>
      <c r="B456" t="s">
        <v>805</v>
      </c>
      <c r="C456" t="s">
        <v>133</v>
      </c>
      <c r="D456" t="s">
        <v>90</v>
      </c>
      <c r="E456" t="s">
        <v>42</v>
      </c>
      <c r="F456" t="s">
        <v>100</v>
      </c>
      <c r="G456" t="s">
        <v>104</v>
      </c>
      <c r="H456" t="s">
        <v>29</v>
      </c>
      <c r="I456">
        <v>880</v>
      </c>
      <c r="J456">
        <v>1</v>
      </c>
      <c r="K456">
        <v>4.7</v>
      </c>
      <c r="L456">
        <v>6</v>
      </c>
      <c r="M456" t="s">
        <v>192</v>
      </c>
    </row>
    <row r="457" spans="1:13" x14ac:dyDescent="0.3">
      <c r="A457" t="s">
        <v>806</v>
      </c>
      <c r="B457" t="s">
        <v>406</v>
      </c>
      <c r="C457" t="s">
        <v>40</v>
      </c>
      <c r="D457" t="s">
        <v>90</v>
      </c>
      <c r="E457" t="s">
        <v>42</v>
      </c>
      <c r="F457" t="s">
        <v>18</v>
      </c>
      <c r="G457" t="s">
        <v>19</v>
      </c>
      <c r="H457" t="s">
        <v>29</v>
      </c>
      <c r="I457">
        <v>10530</v>
      </c>
      <c r="J457">
        <v>5</v>
      </c>
      <c r="K457">
        <v>3.6</v>
      </c>
      <c r="L457">
        <v>6</v>
      </c>
      <c r="M457" t="s">
        <v>47</v>
      </c>
    </row>
    <row r="458" spans="1:13" x14ac:dyDescent="0.3">
      <c r="A458" t="s">
        <v>807</v>
      </c>
      <c r="B458" t="s">
        <v>415</v>
      </c>
      <c r="C458" t="s">
        <v>24</v>
      </c>
      <c r="D458" t="s">
        <v>97</v>
      </c>
      <c r="E458" t="s">
        <v>35</v>
      </c>
      <c r="F458" t="s">
        <v>83</v>
      </c>
      <c r="G458" t="s">
        <v>54</v>
      </c>
      <c r="H458" t="s">
        <v>36</v>
      </c>
      <c r="I458">
        <v>119661</v>
      </c>
      <c r="J458">
        <v>3</v>
      </c>
      <c r="K458">
        <v>4.7</v>
      </c>
      <c r="L458">
        <v>3</v>
      </c>
      <c r="M458" t="s">
        <v>80</v>
      </c>
    </row>
    <row r="459" spans="1:13" x14ac:dyDescent="0.3">
      <c r="A459" t="s">
        <v>808</v>
      </c>
      <c r="B459" t="s">
        <v>510</v>
      </c>
      <c r="C459" t="s">
        <v>129</v>
      </c>
      <c r="D459" t="s">
        <v>165</v>
      </c>
      <c r="E459" t="s">
        <v>35</v>
      </c>
      <c r="F459" t="s">
        <v>83</v>
      </c>
      <c r="G459" t="s">
        <v>104</v>
      </c>
      <c r="H459" t="s">
        <v>64</v>
      </c>
      <c r="I459">
        <v>213456</v>
      </c>
      <c r="J459">
        <v>8</v>
      </c>
      <c r="K459">
        <v>4.5</v>
      </c>
      <c r="L459">
        <v>6</v>
      </c>
      <c r="M459" t="s">
        <v>80</v>
      </c>
    </row>
    <row r="460" spans="1:13" x14ac:dyDescent="0.3">
      <c r="A460" t="s">
        <v>809</v>
      </c>
      <c r="B460" t="s">
        <v>810</v>
      </c>
      <c r="C460" t="s">
        <v>72</v>
      </c>
      <c r="D460" t="s">
        <v>79</v>
      </c>
      <c r="E460" t="s">
        <v>26</v>
      </c>
      <c r="F460" t="s">
        <v>18</v>
      </c>
      <c r="G460" t="s">
        <v>104</v>
      </c>
      <c r="H460" t="s">
        <v>29</v>
      </c>
      <c r="I460">
        <v>15905</v>
      </c>
      <c r="J460">
        <v>5</v>
      </c>
      <c r="K460">
        <v>4.9000000000000004</v>
      </c>
      <c r="L460">
        <v>6</v>
      </c>
      <c r="M460" t="s">
        <v>30</v>
      </c>
    </row>
    <row r="461" spans="1:13" x14ac:dyDescent="0.3">
      <c r="A461" t="s">
        <v>811</v>
      </c>
      <c r="B461" t="s">
        <v>252</v>
      </c>
      <c r="C461" t="s">
        <v>78</v>
      </c>
      <c r="D461" t="s">
        <v>46</v>
      </c>
      <c r="E461" t="s">
        <v>42</v>
      </c>
      <c r="F461" t="s">
        <v>18</v>
      </c>
      <c r="G461" t="s">
        <v>104</v>
      </c>
      <c r="H461" t="s">
        <v>36</v>
      </c>
      <c r="I461">
        <v>4860</v>
      </c>
      <c r="J461">
        <v>3</v>
      </c>
      <c r="K461">
        <v>4.8</v>
      </c>
      <c r="L461">
        <v>3</v>
      </c>
      <c r="M461" t="s">
        <v>30</v>
      </c>
    </row>
    <row r="462" spans="1:13" x14ac:dyDescent="0.3">
      <c r="A462" t="s">
        <v>812</v>
      </c>
      <c r="B462" t="s">
        <v>306</v>
      </c>
      <c r="C462" t="s">
        <v>103</v>
      </c>
      <c r="D462" t="s">
        <v>159</v>
      </c>
      <c r="E462" t="s">
        <v>42</v>
      </c>
      <c r="F462" t="s">
        <v>83</v>
      </c>
      <c r="G462" t="s">
        <v>54</v>
      </c>
      <c r="H462" t="s">
        <v>36</v>
      </c>
      <c r="I462">
        <v>34086</v>
      </c>
      <c r="J462">
        <v>6</v>
      </c>
      <c r="K462">
        <v>3.6</v>
      </c>
      <c r="L462">
        <v>4</v>
      </c>
      <c r="M462" t="s">
        <v>47</v>
      </c>
    </row>
    <row r="463" spans="1:13" x14ac:dyDescent="0.3">
      <c r="A463" t="s">
        <v>813</v>
      </c>
      <c r="B463" t="s">
        <v>139</v>
      </c>
      <c r="C463" t="s">
        <v>129</v>
      </c>
      <c r="D463" t="s">
        <v>69</v>
      </c>
      <c r="E463" t="s">
        <v>26</v>
      </c>
      <c r="F463" t="s">
        <v>60</v>
      </c>
      <c r="G463" t="s">
        <v>19</v>
      </c>
      <c r="H463" t="s">
        <v>64</v>
      </c>
      <c r="I463">
        <v>12012</v>
      </c>
      <c r="J463">
        <v>2</v>
      </c>
      <c r="K463">
        <v>4.3</v>
      </c>
      <c r="L463">
        <v>1</v>
      </c>
      <c r="M463" t="s">
        <v>119</v>
      </c>
    </row>
    <row r="464" spans="1:13" x14ac:dyDescent="0.3">
      <c r="A464" t="s">
        <v>814</v>
      </c>
      <c r="B464" t="s">
        <v>310</v>
      </c>
      <c r="C464" t="s">
        <v>179</v>
      </c>
      <c r="D464" t="s">
        <v>97</v>
      </c>
      <c r="E464" t="s">
        <v>35</v>
      </c>
      <c r="F464" t="s">
        <v>27</v>
      </c>
      <c r="G464" t="s">
        <v>28</v>
      </c>
      <c r="H464" t="s">
        <v>64</v>
      </c>
      <c r="I464">
        <v>48552</v>
      </c>
      <c r="J464">
        <v>1</v>
      </c>
      <c r="K464">
        <v>4.8</v>
      </c>
      <c r="L464">
        <v>2</v>
      </c>
      <c r="M464" t="s">
        <v>55</v>
      </c>
    </row>
    <row r="465" spans="1:13" x14ac:dyDescent="0.3">
      <c r="A465" t="s">
        <v>815</v>
      </c>
      <c r="B465" t="s">
        <v>708</v>
      </c>
      <c r="C465" t="s">
        <v>40</v>
      </c>
      <c r="D465" t="s">
        <v>46</v>
      </c>
      <c r="E465" t="s">
        <v>42</v>
      </c>
      <c r="F465" t="s">
        <v>60</v>
      </c>
      <c r="G465" t="s">
        <v>104</v>
      </c>
      <c r="H465" t="s">
        <v>36</v>
      </c>
      <c r="I465">
        <v>38570</v>
      </c>
      <c r="J465">
        <v>7</v>
      </c>
      <c r="K465">
        <v>3.4</v>
      </c>
      <c r="L465">
        <v>4</v>
      </c>
      <c r="M465" t="s">
        <v>80</v>
      </c>
    </row>
    <row r="466" spans="1:13" x14ac:dyDescent="0.3">
      <c r="A466" t="s">
        <v>816</v>
      </c>
      <c r="B466" t="s">
        <v>561</v>
      </c>
      <c r="C466" t="s">
        <v>179</v>
      </c>
      <c r="D466" t="s">
        <v>69</v>
      </c>
      <c r="E466" t="s">
        <v>26</v>
      </c>
      <c r="F466" t="s">
        <v>83</v>
      </c>
      <c r="G466" t="s">
        <v>28</v>
      </c>
      <c r="H466" t="s">
        <v>29</v>
      </c>
      <c r="I466">
        <v>9906</v>
      </c>
      <c r="J466">
        <v>1</v>
      </c>
      <c r="K466">
        <v>4</v>
      </c>
      <c r="L466">
        <v>3</v>
      </c>
      <c r="M466" t="s">
        <v>87</v>
      </c>
    </row>
    <row r="467" spans="1:13" x14ac:dyDescent="0.3">
      <c r="A467" t="s">
        <v>817</v>
      </c>
      <c r="B467" t="s">
        <v>666</v>
      </c>
      <c r="C467" t="s">
        <v>72</v>
      </c>
      <c r="D467" t="s">
        <v>69</v>
      </c>
      <c r="E467" t="s">
        <v>26</v>
      </c>
      <c r="F467" t="s">
        <v>53</v>
      </c>
      <c r="G467" t="s">
        <v>104</v>
      </c>
      <c r="H467" t="s">
        <v>64</v>
      </c>
      <c r="I467">
        <v>41965</v>
      </c>
      <c r="J467">
        <v>5</v>
      </c>
      <c r="K467">
        <v>3.6</v>
      </c>
      <c r="L467">
        <v>1</v>
      </c>
      <c r="M467" t="s">
        <v>144</v>
      </c>
    </row>
    <row r="468" spans="1:13" x14ac:dyDescent="0.3">
      <c r="A468" t="s">
        <v>818</v>
      </c>
      <c r="B468" t="s">
        <v>545</v>
      </c>
      <c r="C468" t="s">
        <v>45</v>
      </c>
      <c r="D468" t="s">
        <v>218</v>
      </c>
      <c r="E468" t="s">
        <v>17</v>
      </c>
      <c r="F468" t="s">
        <v>27</v>
      </c>
      <c r="G468" t="s">
        <v>104</v>
      </c>
      <c r="H468" t="s">
        <v>64</v>
      </c>
      <c r="I468">
        <v>3921</v>
      </c>
      <c r="J468">
        <v>3</v>
      </c>
      <c r="K468">
        <v>4.0999999999999996</v>
      </c>
      <c r="L468">
        <v>2</v>
      </c>
      <c r="M468" t="s">
        <v>47</v>
      </c>
    </row>
    <row r="469" spans="1:13" x14ac:dyDescent="0.3">
      <c r="A469" t="s">
        <v>819</v>
      </c>
      <c r="B469" t="s">
        <v>533</v>
      </c>
      <c r="C469" t="s">
        <v>24</v>
      </c>
      <c r="D469" t="s">
        <v>69</v>
      </c>
      <c r="E469" t="s">
        <v>26</v>
      </c>
      <c r="F469" t="s">
        <v>100</v>
      </c>
      <c r="G469" t="s">
        <v>54</v>
      </c>
      <c r="H469" t="s">
        <v>20</v>
      </c>
      <c r="I469">
        <v>81800</v>
      </c>
      <c r="J469">
        <v>8</v>
      </c>
      <c r="K469">
        <v>3.2</v>
      </c>
      <c r="L469">
        <v>5</v>
      </c>
      <c r="M469" t="s">
        <v>21</v>
      </c>
    </row>
    <row r="470" spans="1:13" x14ac:dyDescent="0.3">
      <c r="A470" t="s">
        <v>820</v>
      </c>
      <c r="B470" t="s">
        <v>411</v>
      </c>
      <c r="C470" t="s">
        <v>33</v>
      </c>
      <c r="D470" t="s">
        <v>97</v>
      </c>
      <c r="E470" t="s">
        <v>35</v>
      </c>
      <c r="F470" t="s">
        <v>53</v>
      </c>
      <c r="G470" t="s">
        <v>104</v>
      </c>
      <c r="H470" t="s">
        <v>36</v>
      </c>
      <c r="I470">
        <v>28296</v>
      </c>
      <c r="J470">
        <v>3</v>
      </c>
      <c r="K470">
        <v>4</v>
      </c>
      <c r="L470">
        <v>6</v>
      </c>
      <c r="M470" t="s">
        <v>119</v>
      </c>
    </row>
    <row r="471" spans="1:13" x14ac:dyDescent="0.3">
      <c r="A471" t="s">
        <v>821</v>
      </c>
      <c r="B471" t="s">
        <v>784</v>
      </c>
      <c r="C471" t="s">
        <v>103</v>
      </c>
      <c r="D471" t="s">
        <v>79</v>
      </c>
      <c r="E471" t="s">
        <v>26</v>
      </c>
      <c r="F471" t="s">
        <v>27</v>
      </c>
      <c r="G471" t="s">
        <v>104</v>
      </c>
      <c r="H471" t="s">
        <v>36</v>
      </c>
      <c r="I471">
        <v>17940</v>
      </c>
      <c r="J471">
        <v>3</v>
      </c>
      <c r="K471">
        <v>4.7</v>
      </c>
      <c r="L471">
        <v>5</v>
      </c>
      <c r="M471" t="s">
        <v>192</v>
      </c>
    </row>
    <row r="472" spans="1:13" x14ac:dyDescent="0.3">
      <c r="A472" t="s">
        <v>822</v>
      </c>
      <c r="B472" t="s">
        <v>371</v>
      </c>
      <c r="C472" t="s">
        <v>68</v>
      </c>
      <c r="D472" t="s">
        <v>59</v>
      </c>
      <c r="E472" t="s">
        <v>26</v>
      </c>
      <c r="F472" t="s">
        <v>83</v>
      </c>
      <c r="G472" t="s">
        <v>19</v>
      </c>
      <c r="H472" t="s">
        <v>20</v>
      </c>
      <c r="I472">
        <v>8744</v>
      </c>
      <c r="J472">
        <v>1</v>
      </c>
      <c r="K472">
        <v>3.9</v>
      </c>
      <c r="L472">
        <v>3</v>
      </c>
      <c r="M472" t="s">
        <v>80</v>
      </c>
    </row>
    <row r="473" spans="1:13" x14ac:dyDescent="0.3">
      <c r="A473" t="s">
        <v>823</v>
      </c>
      <c r="B473" t="s">
        <v>545</v>
      </c>
      <c r="C473" t="s">
        <v>72</v>
      </c>
      <c r="D473" t="s">
        <v>147</v>
      </c>
      <c r="E473" t="s">
        <v>52</v>
      </c>
      <c r="F473" t="s">
        <v>60</v>
      </c>
      <c r="G473" t="s">
        <v>104</v>
      </c>
      <c r="H473" t="s">
        <v>20</v>
      </c>
      <c r="I473">
        <v>5816</v>
      </c>
      <c r="J473">
        <v>8</v>
      </c>
      <c r="K473">
        <v>3.8</v>
      </c>
      <c r="L473">
        <v>6</v>
      </c>
      <c r="M473" t="s">
        <v>47</v>
      </c>
    </row>
    <row r="474" spans="1:13" x14ac:dyDescent="0.3">
      <c r="A474" t="s">
        <v>824</v>
      </c>
      <c r="B474" t="s">
        <v>825</v>
      </c>
      <c r="C474" t="s">
        <v>133</v>
      </c>
      <c r="D474" t="s">
        <v>113</v>
      </c>
      <c r="E474" t="s">
        <v>35</v>
      </c>
      <c r="F474" t="s">
        <v>27</v>
      </c>
      <c r="G474" t="s">
        <v>54</v>
      </c>
      <c r="H474" t="s">
        <v>36</v>
      </c>
      <c r="I474">
        <v>128788</v>
      </c>
      <c r="J474">
        <v>4</v>
      </c>
      <c r="K474">
        <v>3.6</v>
      </c>
      <c r="L474">
        <v>2</v>
      </c>
      <c r="M474" t="s">
        <v>80</v>
      </c>
    </row>
    <row r="475" spans="1:13" x14ac:dyDescent="0.3">
      <c r="A475" t="s">
        <v>826</v>
      </c>
      <c r="B475" t="s">
        <v>692</v>
      </c>
      <c r="C475" t="s">
        <v>103</v>
      </c>
      <c r="D475" t="s">
        <v>116</v>
      </c>
      <c r="E475" t="s">
        <v>17</v>
      </c>
      <c r="F475" t="s">
        <v>18</v>
      </c>
      <c r="G475" t="s">
        <v>54</v>
      </c>
      <c r="H475" t="s">
        <v>29</v>
      </c>
      <c r="I475">
        <v>702</v>
      </c>
      <c r="J475">
        <v>1</v>
      </c>
      <c r="K475">
        <v>3.3</v>
      </c>
      <c r="L475">
        <v>2</v>
      </c>
      <c r="M475" t="s">
        <v>47</v>
      </c>
    </row>
    <row r="476" spans="1:13" x14ac:dyDescent="0.3">
      <c r="A476" t="s">
        <v>827</v>
      </c>
      <c r="B476" t="s">
        <v>593</v>
      </c>
      <c r="C476" t="s">
        <v>58</v>
      </c>
      <c r="D476" t="s">
        <v>16</v>
      </c>
      <c r="E476" t="s">
        <v>17</v>
      </c>
      <c r="F476" t="s">
        <v>53</v>
      </c>
      <c r="G476" t="s">
        <v>104</v>
      </c>
      <c r="H476" t="s">
        <v>20</v>
      </c>
      <c r="I476">
        <v>6012</v>
      </c>
      <c r="J476">
        <v>4</v>
      </c>
      <c r="K476">
        <v>3.4</v>
      </c>
      <c r="L476">
        <v>5</v>
      </c>
      <c r="M476" t="s">
        <v>80</v>
      </c>
    </row>
    <row r="477" spans="1:13" x14ac:dyDescent="0.3">
      <c r="A477" t="s">
        <v>828</v>
      </c>
      <c r="B477" t="s">
        <v>829</v>
      </c>
      <c r="C477" t="s">
        <v>78</v>
      </c>
      <c r="D477" t="s">
        <v>79</v>
      </c>
      <c r="E477" t="s">
        <v>26</v>
      </c>
      <c r="F477" t="s">
        <v>18</v>
      </c>
      <c r="G477" t="s">
        <v>54</v>
      </c>
      <c r="H477" t="s">
        <v>20</v>
      </c>
      <c r="I477">
        <v>7876</v>
      </c>
      <c r="J477">
        <v>2</v>
      </c>
      <c r="K477">
        <v>4.9000000000000004</v>
      </c>
      <c r="L477">
        <v>3</v>
      </c>
      <c r="M477" t="s">
        <v>65</v>
      </c>
    </row>
    <row r="478" spans="1:13" x14ac:dyDescent="0.3">
      <c r="A478" t="s">
        <v>830</v>
      </c>
      <c r="B478" t="s">
        <v>799</v>
      </c>
      <c r="C478" t="s">
        <v>133</v>
      </c>
      <c r="D478" t="s">
        <v>69</v>
      </c>
      <c r="E478" t="s">
        <v>26</v>
      </c>
      <c r="F478" t="s">
        <v>18</v>
      </c>
      <c r="G478" t="s">
        <v>104</v>
      </c>
      <c r="H478" t="s">
        <v>36</v>
      </c>
      <c r="I478">
        <v>21057</v>
      </c>
      <c r="J478">
        <v>3</v>
      </c>
      <c r="K478">
        <v>4</v>
      </c>
      <c r="L478">
        <v>4</v>
      </c>
      <c r="M478" t="s">
        <v>55</v>
      </c>
    </row>
    <row r="479" spans="1:13" x14ac:dyDescent="0.3">
      <c r="A479" t="s">
        <v>831</v>
      </c>
      <c r="B479" t="s">
        <v>729</v>
      </c>
      <c r="C479" t="s">
        <v>68</v>
      </c>
      <c r="D479" t="s">
        <v>41</v>
      </c>
      <c r="E479" t="s">
        <v>42</v>
      </c>
      <c r="F479" t="s">
        <v>60</v>
      </c>
      <c r="G479" t="s">
        <v>104</v>
      </c>
      <c r="H479" t="s">
        <v>64</v>
      </c>
      <c r="I479">
        <v>15792</v>
      </c>
      <c r="J479">
        <v>3</v>
      </c>
      <c r="K479">
        <v>3.3</v>
      </c>
      <c r="L479">
        <v>8</v>
      </c>
      <c r="M479" t="s">
        <v>65</v>
      </c>
    </row>
    <row r="480" spans="1:13" x14ac:dyDescent="0.3">
      <c r="A480" t="s">
        <v>832</v>
      </c>
      <c r="B480" t="s">
        <v>833</v>
      </c>
      <c r="C480" t="s">
        <v>129</v>
      </c>
      <c r="D480" t="s">
        <v>59</v>
      </c>
      <c r="E480" t="s">
        <v>26</v>
      </c>
      <c r="F480" t="s">
        <v>83</v>
      </c>
      <c r="G480" t="s">
        <v>54</v>
      </c>
      <c r="H480" t="s">
        <v>64</v>
      </c>
      <c r="I480">
        <v>31144</v>
      </c>
      <c r="J480">
        <v>8</v>
      </c>
      <c r="K480">
        <v>4.7</v>
      </c>
      <c r="L480">
        <v>8</v>
      </c>
      <c r="M480" t="s">
        <v>119</v>
      </c>
    </row>
    <row r="481" spans="1:13" x14ac:dyDescent="0.3">
      <c r="A481" t="s">
        <v>834</v>
      </c>
      <c r="B481" t="s">
        <v>82</v>
      </c>
      <c r="C481" t="s">
        <v>75</v>
      </c>
      <c r="D481" t="s">
        <v>116</v>
      </c>
      <c r="E481" t="s">
        <v>17</v>
      </c>
      <c r="F481" t="s">
        <v>53</v>
      </c>
      <c r="G481" t="s">
        <v>19</v>
      </c>
      <c r="H481" t="s">
        <v>29</v>
      </c>
      <c r="I481">
        <v>1088</v>
      </c>
      <c r="J481">
        <v>2</v>
      </c>
      <c r="K481">
        <v>5</v>
      </c>
      <c r="L481">
        <v>3</v>
      </c>
      <c r="M481" t="s">
        <v>47</v>
      </c>
    </row>
    <row r="482" spans="1:13" x14ac:dyDescent="0.3">
      <c r="A482" t="s">
        <v>835</v>
      </c>
      <c r="B482" t="s">
        <v>203</v>
      </c>
      <c r="C482" t="s">
        <v>129</v>
      </c>
      <c r="D482" t="s">
        <v>51</v>
      </c>
      <c r="E482" t="s">
        <v>52</v>
      </c>
      <c r="F482" t="s">
        <v>60</v>
      </c>
      <c r="G482" t="s">
        <v>28</v>
      </c>
      <c r="H482" t="s">
        <v>64</v>
      </c>
      <c r="I482">
        <v>9176</v>
      </c>
      <c r="J482">
        <v>4</v>
      </c>
      <c r="K482">
        <v>3.7</v>
      </c>
      <c r="L482">
        <v>7</v>
      </c>
      <c r="M482" t="s">
        <v>80</v>
      </c>
    </row>
    <row r="483" spans="1:13" x14ac:dyDescent="0.3">
      <c r="A483" t="s">
        <v>836</v>
      </c>
      <c r="B483" t="s">
        <v>837</v>
      </c>
      <c r="C483" t="s">
        <v>15</v>
      </c>
      <c r="D483" t="s">
        <v>59</v>
      </c>
      <c r="E483" t="s">
        <v>26</v>
      </c>
      <c r="F483" t="s">
        <v>18</v>
      </c>
      <c r="G483" t="s">
        <v>54</v>
      </c>
      <c r="H483" t="s">
        <v>36</v>
      </c>
      <c r="I483">
        <v>71576</v>
      </c>
      <c r="J483">
        <v>8</v>
      </c>
      <c r="K483">
        <v>3.6</v>
      </c>
      <c r="L483">
        <v>3</v>
      </c>
      <c r="M483" t="s">
        <v>80</v>
      </c>
    </row>
    <row r="484" spans="1:13" x14ac:dyDescent="0.3">
      <c r="A484" t="s">
        <v>838</v>
      </c>
      <c r="B484" t="s">
        <v>393</v>
      </c>
      <c r="C484" t="s">
        <v>112</v>
      </c>
      <c r="D484" t="s">
        <v>41</v>
      </c>
      <c r="E484" t="s">
        <v>42</v>
      </c>
      <c r="F484" t="s">
        <v>60</v>
      </c>
      <c r="G484" t="s">
        <v>28</v>
      </c>
      <c r="H484" t="s">
        <v>20</v>
      </c>
      <c r="I484">
        <v>22260</v>
      </c>
      <c r="J484">
        <v>7</v>
      </c>
      <c r="K484">
        <v>4.3</v>
      </c>
      <c r="L484">
        <v>2</v>
      </c>
      <c r="M484" t="s">
        <v>37</v>
      </c>
    </row>
    <row r="485" spans="1:13" x14ac:dyDescent="0.3">
      <c r="A485" t="s">
        <v>839</v>
      </c>
      <c r="B485" t="s">
        <v>579</v>
      </c>
      <c r="C485" t="s">
        <v>133</v>
      </c>
      <c r="D485" t="s">
        <v>97</v>
      </c>
      <c r="E485" t="s">
        <v>35</v>
      </c>
      <c r="F485" t="s">
        <v>18</v>
      </c>
      <c r="G485" t="s">
        <v>28</v>
      </c>
      <c r="H485" t="s">
        <v>64</v>
      </c>
      <c r="I485">
        <v>366740</v>
      </c>
      <c r="J485">
        <v>5</v>
      </c>
      <c r="K485">
        <v>4.9000000000000004</v>
      </c>
      <c r="L485">
        <v>1</v>
      </c>
      <c r="M485" t="s">
        <v>65</v>
      </c>
    </row>
    <row r="486" spans="1:13" x14ac:dyDescent="0.3">
      <c r="A486" t="s">
        <v>840</v>
      </c>
      <c r="B486" t="s">
        <v>841</v>
      </c>
      <c r="C486" t="s">
        <v>24</v>
      </c>
      <c r="D486" t="s">
        <v>97</v>
      </c>
      <c r="E486" t="s">
        <v>35</v>
      </c>
      <c r="F486" t="s">
        <v>60</v>
      </c>
      <c r="G486" t="s">
        <v>28</v>
      </c>
      <c r="H486" t="s">
        <v>20</v>
      </c>
      <c r="I486">
        <v>205456</v>
      </c>
      <c r="J486">
        <v>8</v>
      </c>
      <c r="K486">
        <v>4.7</v>
      </c>
      <c r="L486">
        <v>5</v>
      </c>
      <c r="M486" t="s">
        <v>47</v>
      </c>
    </row>
    <row r="487" spans="1:13" x14ac:dyDescent="0.3">
      <c r="A487" t="s">
        <v>842</v>
      </c>
      <c r="B487" t="s">
        <v>843</v>
      </c>
      <c r="C487" t="s">
        <v>112</v>
      </c>
      <c r="D487" t="s">
        <v>97</v>
      </c>
      <c r="E487" t="s">
        <v>35</v>
      </c>
      <c r="F487" t="s">
        <v>18</v>
      </c>
      <c r="G487" t="s">
        <v>28</v>
      </c>
      <c r="H487" t="s">
        <v>29</v>
      </c>
      <c r="I487">
        <v>150170</v>
      </c>
      <c r="J487">
        <v>2</v>
      </c>
      <c r="K487">
        <v>4</v>
      </c>
      <c r="L487">
        <v>3</v>
      </c>
      <c r="M487" t="s">
        <v>65</v>
      </c>
    </row>
    <row r="488" spans="1:13" x14ac:dyDescent="0.3">
      <c r="A488" t="s">
        <v>844</v>
      </c>
      <c r="B488" t="s">
        <v>595</v>
      </c>
      <c r="C488" t="s">
        <v>129</v>
      </c>
      <c r="D488" t="s">
        <v>90</v>
      </c>
      <c r="E488" t="s">
        <v>42</v>
      </c>
      <c r="F488" t="s">
        <v>27</v>
      </c>
      <c r="G488" t="s">
        <v>54</v>
      </c>
      <c r="H488" t="s">
        <v>29</v>
      </c>
      <c r="I488">
        <v>5580</v>
      </c>
      <c r="J488">
        <v>6</v>
      </c>
      <c r="K488">
        <v>3.3</v>
      </c>
      <c r="L488">
        <v>6</v>
      </c>
      <c r="M488" t="s">
        <v>192</v>
      </c>
    </row>
    <row r="489" spans="1:13" x14ac:dyDescent="0.3">
      <c r="A489" t="s">
        <v>845</v>
      </c>
      <c r="B489" t="s">
        <v>846</v>
      </c>
      <c r="C489" t="s">
        <v>40</v>
      </c>
      <c r="D489" t="s">
        <v>41</v>
      </c>
      <c r="E489" t="s">
        <v>42</v>
      </c>
      <c r="F489" t="s">
        <v>100</v>
      </c>
      <c r="G489" t="s">
        <v>54</v>
      </c>
      <c r="H489" t="s">
        <v>36</v>
      </c>
      <c r="I489">
        <v>6972</v>
      </c>
      <c r="J489">
        <v>6</v>
      </c>
      <c r="K489">
        <v>3.6</v>
      </c>
      <c r="L489">
        <v>4</v>
      </c>
      <c r="M489" t="s">
        <v>47</v>
      </c>
    </row>
    <row r="490" spans="1:13" x14ac:dyDescent="0.3">
      <c r="A490" t="s">
        <v>847</v>
      </c>
      <c r="B490" t="s">
        <v>156</v>
      </c>
      <c r="C490" t="s">
        <v>58</v>
      </c>
      <c r="D490" t="s">
        <v>113</v>
      </c>
      <c r="E490" t="s">
        <v>35</v>
      </c>
      <c r="F490" t="s">
        <v>100</v>
      </c>
      <c r="G490" t="s">
        <v>28</v>
      </c>
      <c r="H490" t="s">
        <v>29</v>
      </c>
      <c r="I490">
        <v>135732</v>
      </c>
      <c r="J490">
        <v>3</v>
      </c>
      <c r="K490">
        <v>4.4000000000000004</v>
      </c>
      <c r="L490">
        <v>7</v>
      </c>
      <c r="M490" t="s">
        <v>126</v>
      </c>
    </row>
    <row r="491" spans="1:13" x14ac:dyDescent="0.3">
      <c r="A491" t="s">
        <v>848</v>
      </c>
      <c r="B491" t="s">
        <v>543</v>
      </c>
      <c r="C491" t="s">
        <v>68</v>
      </c>
      <c r="D491" t="s">
        <v>116</v>
      </c>
      <c r="E491" t="s">
        <v>17</v>
      </c>
      <c r="F491" t="s">
        <v>27</v>
      </c>
      <c r="G491" t="s">
        <v>19</v>
      </c>
      <c r="H491" t="s">
        <v>29</v>
      </c>
      <c r="I491">
        <v>948</v>
      </c>
      <c r="J491">
        <v>1</v>
      </c>
      <c r="K491">
        <v>4.2</v>
      </c>
      <c r="L491">
        <v>8</v>
      </c>
      <c r="M491" t="s">
        <v>30</v>
      </c>
    </row>
    <row r="492" spans="1:13" x14ac:dyDescent="0.3">
      <c r="A492" t="s">
        <v>849</v>
      </c>
      <c r="B492" t="s">
        <v>415</v>
      </c>
      <c r="C492" t="s">
        <v>78</v>
      </c>
      <c r="D492" t="s">
        <v>46</v>
      </c>
      <c r="E492" t="s">
        <v>42</v>
      </c>
      <c r="F492" t="s">
        <v>83</v>
      </c>
      <c r="G492" t="s">
        <v>104</v>
      </c>
      <c r="H492" t="s">
        <v>29</v>
      </c>
      <c r="I492">
        <v>23855</v>
      </c>
      <c r="J492">
        <v>5</v>
      </c>
      <c r="K492">
        <v>4.7</v>
      </c>
      <c r="L492">
        <v>2</v>
      </c>
      <c r="M492" t="s">
        <v>80</v>
      </c>
    </row>
    <row r="493" spans="1:13" x14ac:dyDescent="0.3">
      <c r="A493" t="s">
        <v>850</v>
      </c>
      <c r="B493" t="s">
        <v>252</v>
      </c>
      <c r="C493" t="s">
        <v>58</v>
      </c>
      <c r="D493" t="s">
        <v>218</v>
      </c>
      <c r="E493" t="s">
        <v>17</v>
      </c>
      <c r="F493" t="s">
        <v>100</v>
      </c>
      <c r="G493" t="s">
        <v>28</v>
      </c>
      <c r="H493" t="s">
        <v>64</v>
      </c>
      <c r="I493">
        <v>5334</v>
      </c>
      <c r="J493">
        <v>7</v>
      </c>
      <c r="K493">
        <v>3.8</v>
      </c>
      <c r="L493">
        <v>2</v>
      </c>
      <c r="M493" t="s">
        <v>30</v>
      </c>
    </row>
    <row r="494" spans="1:13" x14ac:dyDescent="0.3">
      <c r="A494" t="s">
        <v>851</v>
      </c>
      <c r="B494" t="s">
        <v>263</v>
      </c>
      <c r="C494" t="s">
        <v>103</v>
      </c>
      <c r="D494" t="s">
        <v>109</v>
      </c>
      <c r="E494" t="s">
        <v>52</v>
      </c>
      <c r="F494" t="s">
        <v>100</v>
      </c>
      <c r="G494" t="s">
        <v>28</v>
      </c>
      <c r="H494" t="s">
        <v>20</v>
      </c>
      <c r="I494">
        <v>7390</v>
      </c>
      <c r="J494">
        <v>5</v>
      </c>
      <c r="K494">
        <v>3.6</v>
      </c>
      <c r="L494">
        <v>7</v>
      </c>
      <c r="M494" t="s">
        <v>87</v>
      </c>
    </row>
    <row r="495" spans="1:13" x14ac:dyDescent="0.3">
      <c r="A495" t="s">
        <v>852</v>
      </c>
      <c r="B495" t="s">
        <v>424</v>
      </c>
      <c r="C495" t="s">
        <v>58</v>
      </c>
      <c r="D495" t="s">
        <v>86</v>
      </c>
      <c r="E495" t="s">
        <v>17</v>
      </c>
      <c r="F495" t="s">
        <v>27</v>
      </c>
      <c r="G495" t="s">
        <v>54</v>
      </c>
      <c r="H495" t="s">
        <v>20</v>
      </c>
      <c r="I495">
        <v>5888</v>
      </c>
      <c r="J495">
        <v>8</v>
      </c>
      <c r="K495">
        <v>4.7</v>
      </c>
      <c r="L495">
        <v>7</v>
      </c>
      <c r="M495" t="s">
        <v>30</v>
      </c>
    </row>
    <row r="496" spans="1:13" x14ac:dyDescent="0.3">
      <c r="A496" t="s">
        <v>853</v>
      </c>
      <c r="B496" t="s">
        <v>837</v>
      </c>
      <c r="C496" t="s">
        <v>179</v>
      </c>
      <c r="D496" t="s">
        <v>97</v>
      </c>
      <c r="E496" t="s">
        <v>35</v>
      </c>
      <c r="F496" t="s">
        <v>60</v>
      </c>
      <c r="G496" t="s">
        <v>104</v>
      </c>
      <c r="H496" t="s">
        <v>29</v>
      </c>
      <c r="I496">
        <v>238268</v>
      </c>
      <c r="J496">
        <v>4</v>
      </c>
      <c r="K496">
        <v>4.7</v>
      </c>
      <c r="L496">
        <v>2</v>
      </c>
      <c r="M496" t="s">
        <v>80</v>
      </c>
    </row>
    <row r="497" spans="1:13" x14ac:dyDescent="0.3">
      <c r="A497" t="s">
        <v>854</v>
      </c>
      <c r="B497" t="s">
        <v>833</v>
      </c>
      <c r="C497" t="s">
        <v>146</v>
      </c>
      <c r="D497" t="s">
        <v>109</v>
      </c>
      <c r="E497" t="s">
        <v>52</v>
      </c>
      <c r="F497" t="s">
        <v>60</v>
      </c>
      <c r="G497" t="s">
        <v>28</v>
      </c>
      <c r="H497" t="s">
        <v>64</v>
      </c>
      <c r="I497">
        <v>4904</v>
      </c>
      <c r="J497">
        <v>4</v>
      </c>
      <c r="K497">
        <v>3.2</v>
      </c>
      <c r="L497">
        <v>5</v>
      </c>
      <c r="M497" t="s">
        <v>119</v>
      </c>
    </row>
    <row r="498" spans="1:13" x14ac:dyDescent="0.3">
      <c r="A498" t="s">
        <v>855</v>
      </c>
      <c r="B498" t="s">
        <v>487</v>
      </c>
      <c r="C498" t="s">
        <v>125</v>
      </c>
      <c r="D498" t="s">
        <v>86</v>
      </c>
      <c r="E498" t="s">
        <v>17</v>
      </c>
      <c r="F498" t="s">
        <v>18</v>
      </c>
      <c r="G498" t="s">
        <v>54</v>
      </c>
      <c r="H498" t="s">
        <v>36</v>
      </c>
      <c r="I498">
        <v>2895</v>
      </c>
      <c r="J498">
        <v>5</v>
      </c>
      <c r="K498">
        <v>4.2</v>
      </c>
      <c r="L498">
        <v>1</v>
      </c>
      <c r="M498" t="s">
        <v>80</v>
      </c>
    </row>
    <row r="499" spans="1:13" x14ac:dyDescent="0.3">
      <c r="A499" t="s">
        <v>856</v>
      </c>
      <c r="B499" t="s">
        <v>187</v>
      </c>
      <c r="C499" t="s">
        <v>112</v>
      </c>
      <c r="D499" t="s">
        <v>165</v>
      </c>
      <c r="E499" t="s">
        <v>35</v>
      </c>
      <c r="F499" t="s">
        <v>27</v>
      </c>
      <c r="G499" t="s">
        <v>104</v>
      </c>
      <c r="H499" t="s">
        <v>64</v>
      </c>
      <c r="I499">
        <v>28672</v>
      </c>
      <c r="J499">
        <v>2</v>
      </c>
      <c r="K499">
        <v>3.6</v>
      </c>
      <c r="L499">
        <v>2</v>
      </c>
      <c r="M499" t="s">
        <v>126</v>
      </c>
    </row>
    <row r="500" spans="1:13" x14ac:dyDescent="0.3">
      <c r="A500" t="s">
        <v>857</v>
      </c>
      <c r="B500" t="s">
        <v>250</v>
      </c>
      <c r="C500" t="s">
        <v>72</v>
      </c>
      <c r="D500" t="s">
        <v>86</v>
      </c>
      <c r="E500" t="s">
        <v>17</v>
      </c>
      <c r="F500" t="s">
        <v>18</v>
      </c>
      <c r="G500" t="s">
        <v>19</v>
      </c>
      <c r="H500" t="s">
        <v>20</v>
      </c>
      <c r="I500">
        <v>1882</v>
      </c>
      <c r="J500">
        <v>2</v>
      </c>
      <c r="K500">
        <v>4.9000000000000004</v>
      </c>
      <c r="L500">
        <v>4</v>
      </c>
      <c r="M500" t="s">
        <v>192</v>
      </c>
    </row>
    <row r="501" spans="1:13" x14ac:dyDescent="0.3">
      <c r="A501" t="s">
        <v>858</v>
      </c>
      <c r="B501" t="s">
        <v>859</v>
      </c>
      <c r="C501" t="s">
        <v>170</v>
      </c>
      <c r="D501" t="s">
        <v>97</v>
      </c>
      <c r="E501" t="s">
        <v>35</v>
      </c>
      <c r="F501" t="s">
        <v>100</v>
      </c>
      <c r="G501" t="s">
        <v>28</v>
      </c>
      <c r="H501" t="s">
        <v>64</v>
      </c>
      <c r="I501">
        <v>333860</v>
      </c>
      <c r="J501">
        <v>5</v>
      </c>
      <c r="K501">
        <v>4.5</v>
      </c>
      <c r="L501">
        <v>2</v>
      </c>
      <c r="M501" t="s">
        <v>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15785-E4D6-468D-819D-7A8AFC074C4A}">
  <dimension ref="B8:Q31"/>
  <sheetViews>
    <sheetView showGridLines="0" tabSelected="1" zoomScale="112" zoomScaleNormal="112" workbookViewId="0">
      <selection activeCell="C27" sqref="C27"/>
    </sheetView>
  </sheetViews>
  <sheetFormatPr defaultRowHeight="14.4" x14ac:dyDescent="0.3"/>
  <sheetData>
    <row r="8" spans="2:17" ht="19.8" x14ac:dyDescent="0.4">
      <c r="Q8" s="18"/>
    </row>
    <row r="9" spans="2:17" x14ac:dyDescent="0.3">
      <c r="B9" s="19"/>
      <c r="C9" s="19"/>
      <c r="D9" s="19"/>
      <c r="E9" s="19"/>
      <c r="F9" s="19"/>
      <c r="G9" s="19"/>
      <c r="H9" s="19"/>
      <c r="I9" s="19"/>
      <c r="J9" s="19"/>
      <c r="K9" s="19"/>
      <c r="L9" s="19"/>
      <c r="M9" s="19"/>
      <c r="N9" s="19"/>
      <c r="O9" s="19"/>
      <c r="P9" s="19"/>
    </row>
    <row r="10" spans="2:17" x14ac:dyDescent="0.3">
      <c r="B10" s="19"/>
      <c r="C10" s="19"/>
      <c r="D10" s="19"/>
      <c r="E10" s="19"/>
      <c r="F10" s="19"/>
      <c r="G10" s="19"/>
      <c r="H10" s="19"/>
      <c r="I10" s="19"/>
      <c r="J10" s="19"/>
      <c r="K10" s="19"/>
      <c r="L10" s="19"/>
      <c r="M10" s="19"/>
      <c r="N10" s="19"/>
      <c r="O10" s="19"/>
      <c r="P10" s="19"/>
    </row>
    <row r="11" spans="2:17" x14ac:dyDescent="0.3">
      <c r="B11" s="19"/>
      <c r="C11" s="19"/>
      <c r="D11" s="19"/>
      <c r="E11" s="19"/>
      <c r="F11" s="19"/>
      <c r="G11" s="19"/>
      <c r="H11" s="19"/>
      <c r="I11" s="19"/>
      <c r="J11" s="19"/>
      <c r="K11" s="19"/>
      <c r="L11" s="19"/>
      <c r="M11" s="19"/>
      <c r="N11" s="19"/>
      <c r="O11" s="19"/>
      <c r="P11" s="19"/>
    </row>
    <row r="12" spans="2:17" x14ac:dyDescent="0.3">
      <c r="B12" s="19"/>
      <c r="C12" s="19"/>
      <c r="D12" s="19"/>
      <c r="E12" s="19"/>
      <c r="F12" s="19"/>
      <c r="G12" s="19"/>
      <c r="H12" s="19"/>
      <c r="I12" s="19"/>
      <c r="J12" s="19"/>
      <c r="K12" s="19"/>
      <c r="L12" s="19"/>
      <c r="M12" s="19"/>
      <c r="N12" s="19"/>
      <c r="O12" s="19"/>
      <c r="P12" s="19"/>
    </row>
    <row r="13" spans="2:17" x14ac:dyDescent="0.3">
      <c r="B13" s="19"/>
      <c r="C13" s="19"/>
      <c r="D13" s="19"/>
      <c r="E13" s="19"/>
      <c r="F13" s="19"/>
      <c r="G13" s="19"/>
      <c r="H13" s="19"/>
      <c r="I13" s="19"/>
      <c r="J13" s="19"/>
      <c r="K13" s="19"/>
      <c r="L13" s="19"/>
      <c r="M13" s="19"/>
      <c r="N13" s="19"/>
      <c r="O13" s="19"/>
      <c r="P13" s="19"/>
    </row>
    <row r="14" spans="2:17" x14ac:dyDescent="0.3">
      <c r="B14" s="19"/>
      <c r="C14" s="19"/>
      <c r="D14" s="19"/>
      <c r="E14" s="19"/>
      <c r="F14" s="19"/>
      <c r="G14" s="19"/>
      <c r="H14" s="19"/>
      <c r="I14" s="19"/>
      <c r="J14" s="19"/>
      <c r="K14" s="19"/>
      <c r="L14" s="19"/>
      <c r="M14" s="19"/>
      <c r="N14" s="19"/>
      <c r="O14" s="19"/>
      <c r="P14" s="19"/>
    </row>
    <row r="15" spans="2:17" x14ac:dyDescent="0.3">
      <c r="B15" s="19"/>
      <c r="C15" s="19"/>
      <c r="D15" s="19"/>
      <c r="E15" s="19"/>
      <c r="F15" s="19"/>
      <c r="G15" s="19"/>
      <c r="H15" s="19"/>
      <c r="I15" s="19"/>
      <c r="J15" s="19"/>
      <c r="K15" s="19"/>
      <c r="L15" s="19"/>
      <c r="M15" s="19"/>
      <c r="N15" s="19"/>
      <c r="O15" s="19"/>
      <c r="P15" s="19"/>
    </row>
    <row r="16" spans="2:17" x14ac:dyDescent="0.3">
      <c r="B16" s="19"/>
      <c r="C16" s="19"/>
      <c r="D16" s="19"/>
      <c r="E16" s="19"/>
      <c r="F16" s="19"/>
      <c r="G16" s="19"/>
      <c r="H16" s="19"/>
      <c r="I16" s="19"/>
      <c r="J16" s="19"/>
      <c r="K16" s="19"/>
      <c r="L16" s="19"/>
      <c r="M16" s="19"/>
      <c r="N16" s="19"/>
      <c r="O16" s="19"/>
      <c r="P16" s="19"/>
    </row>
    <row r="17" spans="2:16" x14ac:dyDescent="0.3">
      <c r="B17" s="19"/>
      <c r="C17" s="19"/>
      <c r="D17" s="19"/>
      <c r="E17" s="19"/>
      <c r="F17" s="19"/>
      <c r="G17" s="19"/>
      <c r="H17" s="19"/>
      <c r="I17" s="19"/>
      <c r="J17" s="19"/>
      <c r="K17" s="19"/>
      <c r="L17" s="19"/>
      <c r="M17" s="19"/>
      <c r="N17" s="19"/>
      <c r="O17" s="19"/>
      <c r="P17" s="19"/>
    </row>
    <row r="18" spans="2:16" x14ac:dyDescent="0.3">
      <c r="B18" s="19"/>
      <c r="C18" s="19"/>
      <c r="D18" s="19"/>
      <c r="E18" s="19"/>
      <c r="F18" s="19"/>
      <c r="G18" s="19"/>
      <c r="H18" s="19"/>
      <c r="I18" s="19"/>
      <c r="J18" s="19"/>
      <c r="K18" s="19"/>
      <c r="L18" s="19"/>
      <c r="M18" s="19"/>
      <c r="N18" s="19"/>
      <c r="O18" s="19"/>
      <c r="P18" s="19"/>
    </row>
    <row r="19" spans="2:16" x14ac:dyDescent="0.3">
      <c r="B19" s="19"/>
      <c r="C19" s="19"/>
      <c r="D19" s="19"/>
      <c r="E19" s="19"/>
      <c r="F19" s="19"/>
      <c r="G19" s="19"/>
      <c r="H19" s="19"/>
      <c r="I19" s="19"/>
      <c r="J19" s="19"/>
      <c r="K19" s="19"/>
      <c r="L19" s="19"/>
      <c r="M19" s="19"/>
      <c r="N19" s="19"/>
      <c r="O19" s="19"/>
      <c r="P19" s="19"/>
    </row>
    <row r="20" spans="2:16" x14ac:dyDescent="0.3">
      <c r="B20" s="19"/>
      <c r="C20" s="19"/>
      <c r="D20" s="19"/>
      <c r="E20" s="19"/>
      <c r="F20" s="19"/>
      <c r="G20" s="19"/>
      <c r="H20" s="19"/>
      <c r="I20" s="19"/>
      <c r="J20" s="19"/>
      <c r="K20" s="19"/>
      <c r="L20" s="19"/>
      <c r="M20" s="19"/>
      <c r="N20" s="19"/>
      <c r="O20" s="19"/>
      <c r="P20" s="19"/>
    </row>
    <row r="21" spans="2:16" x14ac:dyDescent="0.3">
      <c r="B21" s="19"/>
      <c r="C21" s="19"/>
      <c r="D21" s="19"/>
      <c r="E21" s="19"/>
      <c r="F21" s="19"/>
      <c r="G21" s="19"/>
      <c r="H21" s="19"/>
      <c r="I21" s="19"/>
      <c r="J21" s="19"/>
      <c r="K21" s="19"/>
      <c r="L21" s="19"/>
      <c r="M21" s="19"/>
      <c r="N21" s="19"/>
      <c r="O21" s="19"/>
      <c r="P21" s="19"/>
    </row>
    <row r="22" spans="2:16" x14ac:dyDescent="0.3">
      <c r="B22" s="19"/>
      <c r="C22" s="19"/>
      <c r="D22" s="19"/>
      <c r="E22" s="19"/>
      <c r="F22" s="19"/>
      <c r="G22" s="19"/>
      <c r="H22" s="19"/>
      <c r="I22" s="19"/>
      <c r="J22" s="19"/>
      <c r="K22" s="19"/>
      <c r="L22" s="19"/>
      <c r="M22" s="19"/>
      <c r="N22" s="19"/>
      <c r="O22" s="19"/>
      <c r="P22" s="19"/>
    </row>
    <row r="23" spans="2:16" x14ac:dyDescent="0.3">
      <c r="B23" s="19"/>
      <c r="C23" s="19"/>
      <c r="D23" s="19"/>
      <c r="E23" s="19"/>
      <c r="F23" s="19"/>
      <c r="G23" s="19"/>
      <c r="H23" s="19"/>
      <c r="I23" s="19"/>
      <c r="J23" s="19"/>
      <c r="K23" s="19"/>
      <c r="L23" s="19"/>
      <c r="M23" s="19"/>
      <c r="N23" s="19"/>
      <c r="O23" s="19"/>
      <c r="P23" s="19"/>
    </row>
    <row r="24" spans="2:16" x14ac:dyDescent="0.3">
      <c r="B24" s="19"/>
      <c r="C24" s="19"/>
      <c r="D24" s="19"/>
      <c r="E24" s="19"/>
      <c r="F24" s="19"/>
      <c r="G24" s="19"/>
      <c r="H24" s="19"/>
      <c r="I24" s="19"/>
      <c r="J24" s="19"/>
      <c r="K24" s="19"/>
      <c r="L24" s="19"/>
      <c r="M24" s="19"/>
      <c r="N24" s="19"/>
      <c r="O24" s="19"/>
      <c r="P24" s="19"/>
    </row>
    <row r="28" spans="2:16" x14ac:dyDescent="0.3">
      <c r="H28" s="20"/>
      <c r="I28" s="20"/>
    </row>
    <row r="29" spans="2:16" x14ac:dyDescent="0.3">
      <c r="H29" s="20"/>
      <c r="I29" s="20"/>
      <c r="N29" s="21"/>
    </row>
    <row r="31" spans="2:16" x14ac:dyDescent="0.3">
      <c r="K31" s="21"/>
      <c r="N31" t="s">
        <v>875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Harish Ali</cp:lastModifiedBy>
  <dcterms:created xsi:type="dcterms:W3CDTF">2026-09-04T11:04:00Z</dcterms:created>
  <dcterms:modified xsi:type="dcterms:W3CDTF">2026-10-18T17:00:34Z</dcterms:modified>
</cp:coreProperties>
</file>